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tions" sheetId="1" state="visible" r:id="rId1"/>
    <sheet xmlns:r="http://schemas.openxmlformats.org/officeDocument/2006/relationships" name="FX Rates" sheetId="2" state="visible" r:id="rId2"/>
    <sheet xmlns:r="http://schemas.openxmlformats.org/officeDocument/2006/relationships" name="Categories (referenc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00;[Red]-#,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8" customWidth="1" min="3" max="3"/>
    <col width="14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memo</t>
        </is>
      </c>
      <c r="D1" s="1" t="inlineStr">
        <is>
          <t>category_raw</t>
        </is>
      </c>
      <c r="E1" s="1" t="inlineStr">
        <is>
          <t>amount</t>
        </is>
      </c>
      <c r="F1" s="1" t="inlineStr">
        <is>
          <t>currency</t>
        </is>
      </c>
      <c r="G1" s="1" t="inlineStr">
        <is>
          <t>balance_after</t>
        </is>
      </c>
    </row>
    <row r="2">
      <c r="A2" s="2" t="n">
        <v>45901</v>
      </c>
      <c r="B2" t="inlineStr">
        <is>
          <t>Salary</t>
        </is>
      </c>
      <c r="C2" t="inlineStr">
        <is>
          <t>Salary Sep - PAYROLL DEPOSIT</t>
        </is>
      </c>
      <c r="D2" t="inlineStr"/>
      <c r="E2" s="3" t="n">
        <v>42000</v>
      </c>
      <c r="F2" t="inlineStr">
        <is>
          <t>HKD</t>
        </is>
      </c>
      <c r="G2" s="4">
        <f>125000.0+IF(F2="HKD",E2,IF(F2="USD",E2*'FX Rates'!$B$2,E2*'FX Rates'!$B$3))</f>
        <v/>
      </c>
    </row>
    <row r="3">
      <c r="A3" s="2" t="n">
        <v>45901</v>
      </c>
      <c r="B3" t="inlineStr">
        <is>
          <t>Starbucks</t>
        </is>
      </c>
      <c r="C3" t="inlineStr">
        <is>
          <t>STAR*COFFEE_CTRL</t>
        </is>
      </c>
      <c r="D3" t="inlineStr"/>
      <c r="E3" s="3" t="n">
        <v>-58</v>
      </c>
      <c r="F3" t="inlineStr">
        <is>
          <t>HKD</t>
        </is>
      </c>
      <c r="G3" s="4">
        <f>G2+IF(F3="HKD",E3,IF(F3="USD",E3*'FX Rates'!$B$2,E3*'FX Rates'!$B$3))</f>
        <v/>
      </c>
    </row>
    <row r="4">
      <c r="A4" s="2" t="n">
        <v>45901</v>
      </c>
      <c r="B4" t="inlineStr">
        <is>
          <t>Dinner</t>
        </is>
      </c>
      <c r="C4" t="inlineStr">
        <is>
          <t>Dinner 22 Ships</t>
        </is>
      </c>
      <c r="D4" t="inlineStr">
        <is>
          <t>Dining</t>
        </is>
      </c>
      <c r="E4" s="3" t="n">
        <v>-520</v>
      </c>
      <c r="F4" t="inlineStr">
        <is>
          <t>HKD</t>
        </is>
      </c>
      <c r="G4" s="4">
        <f>G3+IF(F4="HKD",E4,IF(F4="USD",E4*'FX Rates'!$B$2,E4*'FX Rates'!$B$3))</f>
        <v/>
      </c>
    </row>
    <row r="5">
      <c r="A5" s="2" t="n">
        <v>45901</v>
      </c>
      <c r="B5" t="inlineStr">
        <is>
          <t>Watsons</t>
        </is>
      </c>
      <c r="C5" t="inlineStr">
        <is>
          <t>Watsons - skincare + meds</t>
        </is>
      </c>
      <c r="D5" t="inlineStr"/>
      <c r="E5" s="3" t="n">
        <v>-720</v>
      </c>
      <c r="F5" t="inlineStr">
        <is>
          <t>HKD</t>
        </is>
      </c>
      <c r="G5" s="4">
        <f>G4+IF(F5="HKD",E5,IF(F5="USD",E5*'FX Rates'!$B$2,E5*'FX Rates'!$B$3))</f>
        <v/>
      </c>
    </row>
    <row r="6">
      <c r="A6" s="2" t="n">
        <v>45902</v>
      </c>
      <c r="B6" t="inlineStr">
        <is>
          <t>HKT</t>
        </is>
      </c>
      <c r="C6" t="inlineStr">
        <is>
          <t>HKT BROADBAND SEP</t>
        </is>
      </c>
      <c r="D6" t="inlineStr"/>
      <c r="E6" s="3" t="n">
        <v>-1280</v>
      </c>
      <c r="F6" t="inlineStr">
        <is>
          <t>HKD</t>
        </is>
      </c>
      <c r="G6" s="4">
        <f>G5+IF(F6="HKD",E6,IF(F6="USD",E6*'FX Rates'!$B$2,E6*'FX Rates'!$B$3))</f>
        <v/>
      </c>
    </row>
    <row r="7">
      <c r="A7" s="2" t="n">
        <v>45902</v>
      </c>
      <c r="B7" t="inlineStr">
        <is>
          <t>Starbucks</t>
        </is>
      </c>
      <c r="C7" t="inlineStr">
        <is>
          <t>STARBUCKS COFFEE WANCHAI</t>
        </is>
      </c>
      <c r="D7" t="inlineStr"/>
      <c r="E7" s="3" t="n">
        <v>-46</v>
      </c>
      <c r="F7" t="inlineStr">
        <is>
          <t>HKD</t>
        </is>
      </c>
      <c r="G7" s="4">
        <f>G6+IF(F7="HKD",E7,IF(F7="USD",E7*'FX Rates'!$B$2,E7*'FX Rates'!$B$3))</f>
        <v/>
      </c>
    </row>
    <row r="8">
      <c r="A8" s="2" t="n">
        <v>45902</v>
      </c>
      <c r="B8" t="inlineStr">
        <is>
          <t>Pacific Coffee</t>
        </is>
      </c>
      <c r="C8" t="inlineStr">
        <is>
          <t>Pacific Coffee Central</t>
        </is>
      </c>
      <c r="D8" t="inlineStr"/>
      <c r="E8" s="3" t="n">
        <v>-46</v>
      </c>
      <c r="F8" t="inlineStr">
        <is>
          <t>HKD</t>
        </is>
      </c>
      <c r="G8" s="4">
        <f>G7+IF(F8="HKD",E8,IF(F8="USD",E8*'FX Rates'!$B$2,E8*'FX Rates'!$B$3))</f>
        <v/>
      </c>
    </row>
    <row r="9">
      <c r="A9" s="2" t="n">
        <v>45902</v>
      </c>
      <c r="B9" t="inlineStr">
        <is>
          <t>Lunch</t>
        </is>
      </c>
      <c r="C9" t="inlineStr">
        <is>
          <t>Lunch - Tsui Wah</t>
        </is>
      </c>
      <c r="D9" t="inlineStr"/>
      <c r="E9" s="3" t="n">
        <v>-78</v>
      </c>
      <c r="F9" t="inlineStr">
        <is>
          <t>HKD</t>
        </is>
      </c>
      <c r="G9" s="4">
        <f>G8+IF(F9="HKD",E9,IF(F9="USD",E9*'FX Rates'!$B$2,E9*'FX Rates'!$B$3))</f>
        <v/>
      </c>
    </row>
    <row r="10">
      <c r="A10" s="2" t="n">
        <v>45902</v>
      </c>
      <c r="B10" t="inlineStr">
        <is>
          <t>Uber</t>
        </is>
      </c>
      <c r="C10" t="inlineStr">
        <is>
          <t>Uber Ride home</t>
        </is>
      </c>
      <c r="D10" t="inlineStr">
        <is>
          <t>Transport</t>
        </is>
      </c>
      <c r="E10" s="3" t="n">
        <v>-65</v>
      </c>
      <c r="F10" t="inlineStr">
        <is>
          <t>HKD</t>
        </is>
      </c>
      <c r="G10" s="4">
        <f>G9+IF(F10="HKD",E10,IF(F10="USD",E10*'FX Rates'!$B$2,E10*'FX Rates'!$B$3))</f>
        <v/>
      </c>
    </row>
    <row r="11">
      <c r="A11" s="2" t="n">
        <v>45903</v>
      </c>
      <c r="B11" t="inlineStr">
        <is>
          <t>Starbucks</t>
        </is>
      </c>
      <c r="C11" t="inlineStr">
        <is>
          <t>STARBUCKS-COFFEE-IFC</t>
        </is>
      </c>
      <c r="D11" t="inlineStr"/>
      <c r="E11" s="3" t="n">
        <v>-46</v>
      </c>
      <c r="F11" t="inlineStr">
        <is>
          <t>HKD</t>
        </is>
      </c>
      <c r="G11" s="4">
        <f>G10+IF(F11="HKD",E11,IF(F11="USD",E11*'FX Rates'!$B$2,E11*'FX Rates'!$B$3))</f>
        <v/>
      </c>
    </row>
    <row r="12">
      <c r="A12" s="2" t="n">
        <v>45903</v>
      </c>
      <c r="B12" t="inlineStr">
        <is>
          <t>Pacific Coffee</t>
        </is>
      </c>
      <c r="C12" t="inlineStr">
        <is>
          <t>Pacific Coffee Central</t>
        </is>
      </c>
      <c r="D12" t="inlineStr"/>
      <c r="E12" s="3" t="n">
        <v>-46</v>
      </c>
      <c r="F12" t="inlineStr">
        <is>
          <t>HKD</t>
        </is>
      </c>
      <c r="G12" s="4">
        <f>G11+IF(F12="HKD",E12,IF(F12="USD",E12*'FX Rates'!$B$2,E12*'FX Rates'!$B$3))</f>
        <v/>
      </c>
    </row>
    <row r="13">
      <c r="A13" s="2" t="n">
        <v>45903</v>
      </c>
      <c r="B13" t="inlineStr">
        <is>
          <t>Lunch</t>
        </is>
      </c>
      <c r="C13" t="inlineStr">
        <is>
          <t>Lunch - Tsui Wah</t>
        </is>
      </c>
      <c r="D13" t="inlineStr"/>
      <c r="E13" s="3" t="n">
        <v>-95</v>
      </c>
      <c r="F13" t="inlineStr">
        <is>
          <t>HKD</t>
        </is>
      </c>
      <c r="G13" s="4">
        <f>G12+IF(F13="HKD",E13,IF(F13="USD",E13*'FX Rates'!$B$2,E13*'FX Rates'!$B$3))</f>
        <v/>
      </c>
    </row>
    <row r="14">
      <c r="A14" s="2" t="n">
        <v>45903</v>
      </c>
      <c r="B14" t="inlineStr">
        <is>
          <t>Uber</t>
        </is>
      </c>
      <c r="C14" t="inlineStr">
        <is>
          <t>Uber Ride home</t>
        </is>
      </c>
      <c r="D14" t="inlineStr"/>
      <c r="E14" s="3" t="n">
        <v>-85</v>
      </c>
      <c r="F14" t="inlineStr">
        <is>
          <t>HKD</t>
        </is>
      </c>
      <c r="G14" s="4">
        <f>G13+IF(F14="HKD",E14,IF(F14="USD",E14*'FX Rates'!$B$2,E14*'FX Rates'!$B$3))</f>
        <v/>
      </c>
    </row>
    <row r="15">
      <c r="A15" s="2" t="n">
        <v>45904</v>
      </c>
      <c r="B15" t="inlineStr">
        <is>
          <t>Rent</t>
        </is>
      </c>
      <c r="C15" t="inlineStr">
        <is>
          <t>Rent transfer - landlord WONG</t>
        </is>
      </c>
      <c r="D15" t="inlineStr"/>
      <c r="E15" s="3" t="n">
        <v>-16500</v>
      </c>
      <c r="F15" t="inlineStr">
        <is>
          <t>HKD</t>
        </is>
      </c>
      <c r="G15" s="4">
        <f>G14+IF(F15="HKD",E15,IF(F15="USD",E15*'FX Rates'!$B$2,E15*'FX Rates'!$B$3))</f>
        <v/>
      </c>
    </row>
    <row r="16">
      <c r="A16" s="2" t="n">
        <v>45904</v>
      </c>
      <c r="B16" t="inlineStr">
        <is>
          <t>Netflix</t>
        </is>
      </c>
      <c r="C16" t="inlineStr">
        <is>
          <t>NETFLIX MONTHLY</t>
        </is>
      </c>
      <c r="D16" t="inlineStr"/>
      <c r="E16" s="3" t="n">
        <v>-12.99</v>
      </c>
      <c r="F16" t="inlineStr">
        <is>
          <t>USD</t>
        </is>
      </c>
      <c r="G16" s="4">
        <f>G15+IF(F16="HKD",E16,IF(F16="USD",E16*'FX Rates'!$B$2,E16*'FX Rates'!$B$3))</f>
        <v/>
      </c>
    </row>
    <row r="17">
      <c r="A17" s="2" t="n">
        <v>45904</v>
      </c>
      <c r="B17" t="inlineStr">
        <is>
          <t>Starbucks</t>
        </is>
      </c>
      <c r="C17" t="inlineStr">
        <is>
          <t>STARBUCKS-COFFEE-IFC</t>
        </is>
      </c>
      <c r="D17" t="inlineStr"/>
      <c r="E17" s="3" t="n">
        <v>-46</v>
      </c>
      <c r="F17" t="inlineStr">
        <is>
          <t>HKD</t>
        </is>
      </c>
      <c r="G17" s="4">
        <f>G16+IF(F17="HKD",E17,IF(F17="USD",E17*'FX Rates'!$B$2,E17*'FX Rates'!$B$3))</f>
        <v/>
      </c>
    </row>
    <row r="18">
      <c r="A18" s="2" t="n">
        <v>45904</v>
      </c>
      <c r="B18" t="inlineStr">
        <is>
          <t>ParknShop</t>
        </is>
      </c>
      <c r="C18" t="inlineStr">
        <is>
          <t>PARKNSHOP SUPERMARKET TST</t>
        </is>
      </c>
      <c r="D18" t="inlineStr"/>
      <c r="E18" s="3" t="n">
        <v>-150</v>
      </c>
      <c r="F18" t="inlineStr">
        <is>
          <t>HKD</t>
        </is>
      </c>
      <c r="G18" s="4">
        <f>G17+IF(F18="HKD",E18,IF(F18="USD",E18*'FX Rates'!$B$2,E18*'FX Rates'!$B$3))</f>
        <v/>
      </c>
    </row>
    <row r="19">
      <c r="A19" s="2" t="n">
        <v>45905</v>
      </c>
      <c r="B19" t="inlineStr">
        <is>
          <t>Lunch</t>
        </is>
      </c>
      <c r="C19" t="inlineStr">
        <is>
          <t>Lunch ABC Kitchen</t>
        </is>
      </c>
      <c r="D19" t="inlineStr">
        <is>
          <t>Dining</t>
        </is>
      </c>
      <c r="E19" s="3" t="n">
        <v>-102</v>
      </c>
      <c r="F19" t="inlineStr">
        <is>
          <t>HKD</t>
        </is>
      </c>
      <c r="G19" s="4">
        <f>G18+IF(F19="HKD",E19,IF(F19="USD",E19*'FX Rates'!$B$2,E19*'FX Rates'!$B$3))</f>
        <v/>
      </c>
    </row>
    <row r="20">
      <c r="A20" s="2" t="n">
        <v>45905</v>
      </c>
      <c r="B20" t="inlineStr">
        <is>
          <t>Dinner</t>
        </is>
      </c>
      <c r="C20" t="inlineStr">
        <is>
          <t>Dinner 22 Ships</t>
        </is>
      </c>
      <c r="D20" t="inlineStr"/>
      <c r="E20" s="3" t="n">
        <v>-520</v>
      </c>
      <c r="F20" t="inlineStr">
        <is>
          <t>HKD</t>
        </is>
      </c>
      <c r="G20" s="4">
        <f>G19+IF(F20="HKD",E20,IF(F20="USD",E20*'FX Rates'!$B$2,E20*'FX Rates'!$B$3))</f>
        <v/>
      </c>
    </row>
    <row r="21">
      <c r="A21" s="2" t="n">
        <v>45905</v>
      </c>
      <c r="B21" t="inlineStr">
        <is>
          <t>ParknShop</t>
        </is>
      </c>
      <c r="C21" t="inlineStr">
        <is>
          <t>PARKNSHOP SUPERMARKET TST</t>
        </is>
      </c>
      <c r="D21" t="inlineStr"/>
      <c r="E21" s="3" t="n">
        <v>-280.4</v>
      </c>
      <c r="F21" t="inlineStr">
        <is>
          <t>HKD</t>
        </is>
      </c>
      <c r="G21" s="4">
        <f>G20+IF(F21="HKD",E21,IF(F21="USD",E21*'FX Rates'!$B$2,E21*'FX Rates'!$B$3))</f>
        <v/>
      </c>
    </row>
    <row r="22">
      <c r="A22" s="2" t="n">
        <v>45906</v>
      </c>
      <c r="B22" t="inlineStr">
        <is>
          <t>iCloud</t>
        </is>
      </c>
      <c r="C22" t="inlineStr">
        <is>
          <t>APPLE.COM/BILL ICLOUD+</t>
        </is>
      </c>
      <c r="D22" t="inlineStr"/>
      <c r="E22" s="3" t="n">
        <v>-2.99</v>
      </c>
      <c r="F22" t="inlineStr">
        <is>
          <t>USD</t>
        </is>
      </c>
      <c r="G22" s="4">
        <f>G21+IF(F22="HKD",E22,IF(F22="USD",E22*'FX Rates'!$B$2,E22*'FX Rates'!$B$3))</f>
        <v/>
      </c>
    </row>
    <row r="23">
      <c r="A23" s="2" t="n">
        <v>45906</v>
      </c>
      <c r="B23" t="inlineStr">
        <is>
          <t>Starbucks</t>
        </is>
      </c>
      <c r="C23" t="inlineStr">
        <is>
          <t>STARBUCKS-COFFEE-IFC</t>
        </is>
      </c>
      <c r="D23" t="inlineStr"/>
      <c r="E23" s="3" t="n">
        <v>-46</v>
      </c>
      <c r="F23" t="inlineStr">
        <is>
          <t>HKD</t>
        </is>
      </c>
      <c r="G23" s="4">
        <f>G22+IF(F23="HKD",E23,IF(F23="USD",E23*'FX Rates'!$B$2,E23*'FX Rates'!$B$3))</f>
        <v/>
      </c>
    </row>
    <row r="24">
      <c r="A24" s="2" t="n">
        <v>45906</v>
      </c>
      <c r="B24" t="inlineStr">
        <is>
          <t>Lunch</t>
        </is>
      </c>
      <c r="C24" t="inlineStr">
        <is>
          <t>Brunch Common Ground</t>
        </is>
      </c>
      <c r="D24" t="inlineStr"/>
      <c r="E24" s="3" t="n">
        <v>-102</v>
      </c>
      <c r="F24" t="inlineStr">
        <is>
          <t>HKD</t>
        </is>
      </c>
      <c r="G24" s="4">
        <f>G23+IF(F24="HKD",E24,IF(F24="USD",E24*'FX Rates'!$B$2,E24*'FX Rates'!$B$3))</f>
        <v/>
      </c>
    </row>
    <row r="25">
      <c r="A25" s="2" t="n">
        <v>45906</v>
      </c>
      <c r="B25" t="inlineStr">
        <is>
          <t>Dinner</t>
        </is>
      </c>
      <c r="C25" t="inlineStr">
        <is>
          <t>Dinner Yardbird</t>
        </is>
      </c>
      <c r="D25" t="inlineStr"/>
      <c r="E25" s="3" t="n">
        <v>-410</v>
      </c>
      <c r="F25" t="inlineStr">
        <is>
          <t>HKD</t>
        </is>
      </c>
      <c r="G25" s="4">
        <f>G24+IF(F25="HKD",E25,IF(F25="USD",E25*'FX Rates'!$B$2,E25*'FX Rates'!$B$3))</f>
        <v/>
      </c>
    </row>
    <row r="26">
      <c r="A26" s="2" t="n">
        <v>45906</v>
      </c>
      <c r="B26" t="inlineStr">
        <is>
          <t>Uber</t>
        </is>
      </c>
      <c r="C26" t="inlineStr">
        <is>
          <t>Uber Ride to office</t>
        </is>
      </c>
      <c r="D26" t="inlineStr">
        <is>
          <t>Transport</t>
        </is>
      </c>
      <c r="E26" s="3" t="n">
        <v>-65</v>
      </c>
      <c r="F26" t="inlineStr">
        <is>
          <t>HKD</t>
        </is>
      </c>
      <c r="G26" s="4">
        <f>G25+IF(F26="HKD",E26,IF(F26="USD",E26*'FX Rates'!$B$2,E26*'FX Rates'!$B$3))</f>
        <v/>
      </c>
    </row>
    <row r="27">
      <c r="A27" s="2" t="n">
        <v>45907</v>
      </c>
      <c r="B27" t="inlineStr">
        <is>
          <t>Starbucks</t>
        </is>
      </c>
      <c r="C27" t="inlineStr">
        <is>
          <t>STARBUCKS COFFEE WANCHAI</t>
        </is>
      </c>
      <c r="D27" t="inlineStr">
        <is>
          <t>Coffee</t>
        </is>
      </c>
      <c r="E27" s="3" t="n">
        <v>-46</v>
      </c>
      <c r="F27" t="inlineStr">
        <is>
          <t>HKD</t>
        </is>
      </c>
      <c r="G27" s="4">
        <f>G26+IF(F27="HKD",E27,IF(F27="USD",E27*'FX Rates'!$B$2,E27*'FX Rates'!$B$3))</f>
        <v/>
      </c>
    </row>
    <row r="28">
      <c r="A28" s="2" t="n">
        <v>45907</v>
      </c>
      <c r="B28" t="inlineStr">
        <is>
          <t>Pacific Coffee</t>
        </is>
      </c>
      <c r="C28" t="inlineStr">
        <is>
          <t>Pacific Coffee Central</t>
        </is>
      </c>
      <c r="D28" t="inlineStr">
        <is>
          <t>Coffee</t>
        </is>
      </c>
      <c r="E28" s="3" t="n">
        <v>-46</v>
      </c>
      <c r="F28" t="inlineStr">
        <is>
          <t>HKD</t>
        </is>
      </c>
      <c r="G28" s="4">
        <f>G27+IF(F28="HKD",E28,IF(F28="USD",E28*'FX Rates'!$B$2,E28*'FX Rates'!$B$3))</f>
        <v/>
      </c>
    </row>
    <row r="29">
      <c r="A29" s="2" t="n">
        <v>45907</v>
      </c>
      <c r="B29" t="inlineStr">
        <is>
          <t>Lunch</t>
        </is>
      </c>
      <c r="C29" t="inlineStr">
        <is>
          <t>Lunch ABC Kitchen</t>
        </is>
      </c>
      <c r="D29" t="inlineStr">
        <is>
          <t>Dining</t>
        </is>
      </c>
      <c r="E29" s="3" t="n">
        <v>-102</v>
      </c>
      <c r="F29" t="inlineStr">
        <is>
          <t>HKD</t>
        </is>
      </c>
      <c r="G29" s="4">
        <f>G28+IF(F29="HKD",E29,IF(F29="USD",E29*'FX Rates'!$B$2,E29*'FX Rates'!$B$3))</f>
        <v/>
      </c>
    </row>
    <row r="30">
      <c r="A30" t="inlineStr">
        <is>
          <t>09/08/2025</t>
        </is>
      </c>
      <c r="B30" t="inlineStr">
        <is>
          <t>Lunch</t>
        </is>
      </c>
      <c r="C30" t="inlineStr">
        <is>
          <t>Lunch Maxim's</t>
        </is>
      </c>
      <c r="D30" t="inlineStr">
        <is>
          <t>Dining</t>
        </is>
      </c>
      <c r="E30" s="3" t="n">
        <v>-120</v>
      </c>
      <c r="F30" t="inlineStr">
        <is>
          <t>HKD</t>
        </is>
      </c>
      <c r="G30" s="4">
        <f>G29+IF(F30="HKD",E30,IF(F30="USD",E30*'FX Rates'!$B$2,E30*'FX Rates'!$B$3))</f>
        <v/>
      </c>
    </row>
    <row r="31">
      <c r="A31" s="2" t="n">
        <v>45909</v>
      </c>
      <c r="B31" t="inlineStr">
        <is>
          <t>Pure</t>
        </is>
      </c>
      <c r="C31" t="inlineStr">
        <is>
          <t>Gym membership Pure</t>
        </is>
      </c>
      <c r="D31" t="inlineStr">
        <is>
          <t>Subscriptions</t>
        </is>
      </c>
      <c r="E31" s="3" t="n">
        <v>-1280</v>
      </c>
      <c r="F31" t="inlineStr">
        <is>
          <t>HKD</t>
        </is>
      </c>
      <c r="G31" s="4">
        <f>G30+IF(F31="HKD",E31,IF(F31="USD",E31*'FX Rates'!$B$2,E31*'FX Rates'!$B$3))</f>
        <v/>
      </c>
    </row>
    <row r="32">
      <c r="A32" s="2" t="n">
        <v>45909</v>
      </c>
      <c r="B32" t="inlineStr">
        <is>
          <t>Adobe</t>
        </is>
      </c>
      <c r="C32" t="inlineStr">
        <is>
          <t>ADOBE CREATIVE CLOUD</t>
        </is>
      </c>
      <c r="D32" t="inlineStr"/>
      <c r="E32" s="3" t="n">
        <v>-54.99</v>
      </c>
      <c r="F32" t="inlineStr">
        <is>
          <t>USD</t>
        </is>
      </c>
      <c r="G32" s="4">
        <f>G31+IF(F32="HKD",E32,IF(F32="USD",E32*'FX Rates'!$B$2,E32*'FX Rates'!$B$3))</f>
        <v/>
      </c>
    </row>
    <row r="33">
      <c r="A33" s="2" t="n">
        <v>45909</v>
      </c>
      <c r="B33" t="inlineStr">
        <is>
          <t>Uber</t>
        </is>
      </c>
      <c r="C33" t="inlineStr">
        <is>
          <t>Uber Ride home</t>
        </is>
      </c>
      <c r="D33" t="inlineStr"/>
      <c r="E33" s="3" t="n">
        <v>-65</v>
      </c>
      <c r="F33" t="inlineStr">
        <is>
          <t>HKD</t>
        </is>
      </c>
      <c r="G33" s="4">
        <f>G32+IF(F33="HKD",E33,IF(F33="USD",E33*'FX Rates'!$B$2,E33*'FX Rates'!$B$3))</f>
        <v/>
      </c>
    </row>
    <row r="34">
      <c r="A34" s="2" t="n">
        <v>45909</v>
      </c>
      <c r="B34" t="inlineStr">
        <is>
          <t>Watsons</t>
        </is>
      </c>
      <c r="C34" t="inlineStr">
        <is>
          <t>Watsons - skincare + meds</t>
        </is>
      </c>
      <c r="D34" t="inlineStr"/>
      <c r="E34" s="3" t="n">
        <v>-180</v>
      </c>
      <c r="F34" t="inlineStr">
        <is>
          <t>HKD</t>
        </is>
      </c>
      <c r="G34" s="4">
        <f>G33+IF(F34="HKD",E34,IF(F34="USD",E34*'FX Rates'!$B$2,E34*'FX Rates'!$B$3))</f>
        <v/>
      </c>
    </row>
    <row r="35">
      <c r="A35" s="2" t="n">
        <v>45910</v>
      </c>
      <c r="B35" t="inlineStr">
        <is>
          <t>Lunch</t>
        </is>
      </c>
      <c r="C35" t="inlineStr">
        <is>
          <t>Brunch Common Ground</t>
        </is>
      </c>
      <c r="D35" t="inlineStr">
        <is>
          <t>Dining</t>
        </is>
      </c>
      <c r="E35" s="3" t="n">
        <v>-102</v>
      </c>
      <c r="F35" t="inlineStr">
        <is>
          <t>HKD</t>
        </is>
      </c>
      <c r="G35" s="4">
        <f>G34+IF(F35="HKD",E35,IF(F35="USD",E35*'FX Rates'!$B$2,E35*'FX Rates'!$B$3))</f>
        <v/>
      </c>
    </row>
    <row r="36">
      <c r="A36" s="2" t="n">
        <v>45911</v>
      </c>
      <c r="B36" t="inlineStr">
        <is>
          <t>Starbucks</t>
        </is>
      </c>
      <c r="C36" t="inlineStr">
        <is>
          <t>STARBUCKS-COFFEE-IFC</t>
        </is>
      </c>
      <c r="D36" t="inlineStr"/>
      <c r="E36" s="3" t="n">
        <v>-46</v>
      </c>
      <c r="F36" t="inlineStr">
        <is>
          <t>HKD</t>
        </is>
      </c>
      <c r="G36" s="4">
        <f>G35+IF(F36="HKD",E36,IF(F36="USD",E36*'FX Rates'!$B$2,E36*'FX Rates'!$B$3))</f>
        <v/>
      </c>
    </row>
    <row r="37">
      <c r="A37" s="2" t="n">
        <v>45911</v>
      </c>
      <c r="B37" t="inlineStr">
        <is>
          <t>Dinner</t>
        </is>
      </c>
      <c r="C37" t="inlineStr">
        <is>
          <t>Dinner 22 Ships</t>
        </is>
      </c>
      <c r="D37" t="inlineStr">
        <is>
          <t>Dining</t>
        </is>
      </c>
      <c r="E37" s="3" t="n">
        <v>-520</v>
      </c>
      <c r="F37" t="inlineStr">
        <is>
          <t>HKD</t>
        </is>
      </c>
      <c r="G37" s="4">
        <f>G36+IF(F37="HKD",E37,IF(F37="USD",E37*'FX Rates'!$B$2,E37*'FX Rates'!$B$3))</f>
        <v/>
      </c>
    </row>
    <row r="38">
      <c r="A38" s="2" t="n">
        <v>45911</v>
      </c>
      <c r="B38" t="inlineStr">
        <is>
          <t>ParknShop</t>
        </is>
      </c>
      <c r="C38" t="inlineStr">
        <is>
          <t>PARKNSHOP SUPERMARKET TST</t>
        </is>
      </c>
      <c r="D38" t="inlineStr">
        <is>
          <t>Groceries</t>
        </is>
      </c>
      <c r="E38" s="3" t="n">
        <v>-280.4</v>
      </c>
      <c r="F38" t="inlineStr">
        <is>
          <t>HKD</t>
        </is>
      </c>
      <c r="G38" s="4">
        <f>G37+IF(F38="HKD",E38,IF(F38="USD",E38*'FX Rates'!$B$2,E38*'FX Rates'!$B$3))</f>
        <v/>
      </c>
    </row>
    <row r="39">
      <c r="A39" s="2" t="n">
        <v>45912</v>
      </c>
      <c r="B39" t="inlineStr">
        <is>
          <t>Pacific Coffee</t>
        </is>
      </c>
      <c r="C39" t="inlineStr">
        <is>
          <t>Pacific Coffee Central</t>
        </is>
      </c>
      <c r="D39" t="inlineStr"/>
      <c r="E39" s="3" t="n">
        <v>-46</v>
      </c>
      <c r="F39" t="inlineStr">
        <is>
          <t>HKD</t>
        </is>
      </c>
      <c r="G39" s="4">
        <f>G38+IF(F39="HKD",E39,IF(F39="USD",E39*'FX Rates'!$B$2,E39*'FX Rates'!$B$3))</f>
        <v/>
      </c>
    </row>
    <row r="40">
      <c r="A40" s="2" t="n">
        <v>45913</v>
      </c>
      <c r="B40" t="inlineStr">
        <is>
          <t>Starbucks</t>
        </is>
      </c>
      <c r="C40" t="inlineStr">
        <is>
          <t>STARBUCKS COFFEE WANCHAI</t>
        </is>
      </c>
      <c r="D40" t="inlineStr">
        <is>
          <t>Coffee</t>
        </is>
      </c>
      <c r="E40" s="3" t="n">
        <v>-46</v>
      </c>
      <c r="F40" t="inlineStr">
        <is>
          <t>HKD</t>
        </is>
      </c>
      <c r="G40" s="4">
        <f>G39+IF(F40="HKD",E40,IF(F40="USD",E40*'FX Rates'!$B$2,E40*'FX Rates'!$B$3))</f>
        <v/>
      </c>
    </row>
    <row r="41">
      <c r="A41" s="2" t="n">
        <v>45913</v>
      </c>
      <c r="B41" t="inlineStr">
        <is>
          <t>Lunch</t>
        </is>
      </c>
      <c r="C41" t="inlineStr">
        <is>
          <t>Lunch - Tsui Wah</t>
        </is>
      </c>
      <c r="D41" t="inlineStr">
        <is>
          <t>Dining</t>
        </is>
      </c>
      <c r="E41" s="3" t="n">
        <v>-120</v>
      </c>
      <c r="F41" t="inlineStr">
        <is>
          <t>HKD</t>
        </is>
      </c>
      <c r="G41" s="4">
        <f>G40+IF(F41="HKD",E41,IF(F41="USD",E41*'FX Rates'!$B$2,E41*'FX Rates'!$B$3))</f>
        <v/>
      </c>
    </row>
    <row r="42">
      <c r="A42" s="2" t="n">
        <v>45913</v>
      </c>
      <c r="B42" t="inlineStr">
        <is>
          <t>Dinner</t>
        </is>
      </c>
      <c r="C42" t="inlineStr">
        <is>
          <t>Dinner Mott 32</t>
        </is>
      </c>
      <c r="D42" t="inlineStr">
        <is>
          <t>Dining</t>
        </is>
      </c>
      <c r="E42" s="3" t="n">
        <v>-520</v>
      </c>
      <c r="F42" t="inlineStr">
        <is>
          <t>HKD</t>
        </is>
      </c>
      <c r="G42" s="4">
        <f>G41+IF(F42="HKD",E42,IF(F42="USD",E42*'FX Rates'!$B$2,E42*'FX Rates'!$B$3))</f>
        <v/>
      </c>
    </row>
    <row r="43">
      <c r="A43" s="2" t="n">
        <v>45913</v>
      </c>
      <c r="B43" t="inlineStr">
        <is>
          <t>Uber</t>
        </is>
      </c>
      <c r="C43" t="inlineStr">
        <is>
          <t>Uber Ride home</t>
        </is>
      </c>
      <c r="D43" t="inlineStr"/>
      <c r="E43" s="3" t="n">
        <v>-95</v>
      </c>
      <c r="F43" t="inlineStr">
        <is>
          <t>HKD</t>
        </is>
      </c>
      <c r="G43" s="4">
        <f>G42+IF(F43="HKD",E43,IF(F43="USD",E43*'FX Rates'!$B$2,E43*'FX Rates'!$B$3))</f>
        <v/>
      </c>
    </row>
    <row r="44">
      <c r="A44" s="2" t="n">
        <v>45913</v>
      </c>
      <c r="B44" t="inlineStr">
        <is>
          <t>MTR</t>
        </is>
      </c>
      <c r="C44" t="inlineStr">
        <is>
          <t>MTR Octopus topup</t>
        </is>
      </c>
      <c r="D44" t="inlineStr"/>
      <c r="E44" s="3" t="n">
        <v>-200</v>
      </c>
      <c r="F44" t="inlineStr">
        <is>
          <t>HKD</t>
        </is>
      </c>
      <c r="G44" s="4">
        <f>G43+IF(F44="HKD",E44,IF(F44="USD",E44*'FX Rates'!$B$2,E44*'FX Rates'!$B$3))</f>
        <v/>
      </c>
    </row>
    <row r="45">
      <c r="A45" s="2" t="n">
        <v>45914</v>
      </c>
      <c r="B45" t="inlineStr">
        <is>
          <t>Starbucks</t>
        </is>
      </c>
      <c r="C45" t="inlineStr">
        <is>
          <t>STARBUCKS COFFEE WANCHAI</t>
        </is>
      </c>
      <c r="D45" t="inlineStr"/>
      <c r="E45" s="3" t="n">
        <v>-46</v>
      </c>
      <c r="F45" t="inlineStr">
        <is>
          <t>HKD</t>
        </is>
      </c>
      <c r="G45" s="4">
        <f>G44+IF(F45="HKD",E45,IF(F45="USD",E45*'FX Rates'!$B$2,E45*'FX Rates'!$B$3))</f>
        <v/>
      </c>
    </row>
    <row r="46">
      <c r="A46" s="2" t="n">
        <v>45914</v>
      </c>
      <c r="B46" t="inlineStr">
        <is>
          <t>Lunch</t>
        </is>
      </c>
      <c r="C46" t="inlineStr">
        <is>
          <t>Lunch IFC food hall</t>
        </is>
      </c>
      <c r="D46" t="inlineStr"/>
      <c r="E46" s="3" t="n">
        <v>-95</v>
      </c>
      <c r="F46" t="inlineStr">
        <is>
          <t>HKD</t>
        </is>
      </c>
      <c r="G46" s="4">
        <f>G45+IF(F46="HKD",E46,IF(F46="USD",E46*'FX Rates'!$B$2,E46*'FX Rates'!$B$3))</f>
        <v/>
      </c>
    </row>
    <row r="47">
      <c r="A47" s="2" t="n">
        <v>45914</v>
      </c>
      <c r="B47" t="inlineStr">
        <is>
          <t>MTR</t>
        </is>
      </c>
      <c r="C47" t="inlineStr">
        <is>
          <t>MTR Octopus topup</t>
        </is>
      </c>
      <c r="D47" t="inlineStr">
        <is>
          <t>Transport</t>
        </is>
      </c>
      <c r="E47" s="3" t="n">
        <v>-200</v>
      </c>
      <c r="F47" t="inlineStr">
        <is>
          <t>HKD</t>
        </is>
      </c>
      <c r="G47" s="4">
        <f>G46+IF(F47="HKD",E47,IF(F47="USD",E47*'FX Rates'!$B$2,E47*'FX Rates'!$B$3))</f>
        <v/>
      </c>
    </row>
    <row r="48">
      <c r="A48" s="2" t="n">
        <v>45915</v>
      </c>
      <c r="B48" t="inlineStr">
        <is>
          <t>SmarTone</t>
        </is>
      </c>
      <c r="C48" t="inlineStr">
        <is>
          <t>SMARTONE MOBILE SEP</t>
        </is>
      </c>
      <c r="D48" t="inlineStr"/>
      <c r="E48" s="3" t="n">
        <v>-398</v>
      </c>
      <c r="F48" t="inlineStr">
        <is>
          <t>HKD</t>
        </is>
      </c>
      <c r="G48" s="4">
        <f>G47+IF(F48="HKD",E48,IF(F48="USD",E48*'FX Rates'!$B$2,E48*'FX Rates'!$B$3))</f>
        <v/>
      </c>
    </row>
    <row r="49">
      <c r="A49" s="2" t="n">
        <v>45915</v>
      </c>
      <c r="B49" t="inlineStr">
        <is>
          <t>Dropbox</t>
        </is>
      </c>
      <c r="C49" t="inlineStr">
        <is>
          <t>DROPBOX PLUS</t>
        </is>
      </c>
      <c r="D49" t="inlineStr">
        <is>
          <t>Subscriptions</t>
        </is>
      </c>
      <c r="E49" s="3" t="n">
        <v>-11.99</v>
      </c>
      <c r="F49" t="inlineStr">
        <is>
          <t>USD</t>
        </is>
      </c>
      <c r="G49" s="4">
        <f>G48+IF(F49="HKD",E49,IF(F49="USD",E49*'FX Rates'!$B$2,E49*'FX Rates'!$B$3))</f>
        <v/>
      </c>
    </row>
    <row r="50">
      <c r="A50" s="2" t="n">
        <v>45915</v>
      </c>
      <c r="B50" t="inlineStr">
        <is>
          <t>Starbucks</t>
        </is>
      </c>
      <c r="C50" t="inlineStr">
        <is>
          <t>STARBUCKS-COFFEE-IFC</t>
        </is>
      </c>
      <c r="D50" t="inlineStr">
        <is>
          <t>Coffee</t>
        </is>
      </c>
      <c r="E50" s="3" t="n">
        <v>-46</v>
      </c>
      <c r="F50" t="inlineStr">
        <is>
          <t>HKD</t>
        </is>
      </c>
      <c r="G50" s="4">
        <f>G49+IF(F50="HKD",E50,IF(F50="USD",E50*'FX Rates'!$B$2,E50*'FX Rates'!$B$3))</f>
        <v/>
      </c>
    </row>
    <row r="51">
      <c r="A51" s="2" t="n">
        <v>45915</v>
      </c>
      <c r="B51" t="inlineStr">
        <is>
          <t>Dinner</t>
        </is>
      </c>
      <c r="C51" t="inlineStr">
        <is>
          <t>Dinner 22 Ships</t>
        </is>
      </c>
      <c r="D51" t="inlineStr">
        <is>
          <t>Dining</t>
        </is>
      </c>
      <c r="E51" s="3" t="n">
        <v>-380</v>
      </c>
      <c r="F51" t="inlineStr">
        <is>
          <t>HKD</t>
        </is>
      </c>
      <c r="G51" s="4">
        <f>G50+IF(F51="HKD",E51,IF(F51="USD",E51*'FX Rates'!$B$2,E51*'FX Rates'!$B$3))</f>
        <v/>
      </c>
    </row>
    <row r="52">
      <c r="A52" s="2" t="n">
        <v>45916</v>
      </c>
      <c r="B52" t="inlineStr">
        <is>
          <t>Pacific Coffee</t>
        </is>
      </c>
      <c r="C52" t="inlineStr">
        <is>
          <t>Pacific Coffee Central</t>
        </is>
      </c>
      <c r="D52" t="inlineStr"/>
      <c r="E52" s="3" t="n">
        <v>-46</v>
      </c>
      <c r="F52" t="inlineStr">
        <is>
          <t>HKD</t>
        </is>
      </c>
      <c r="G52" s="4">
        <f>G51+IF(F52="HKD",E52,IF(F52="USD",E52*'FX Rates'!$B$2,E52*'FX Rates'!$B$3))</f>
        <v/>
      </c>
    </row>
    <row r="53">
      <c r="A53" s="2" t="n">
        <v>45916</v>
      </c>
      <c r="B53" t="inlineStr">
        <is>
          <t>Lunch</t>
        </is>
      </c>
      <c r="C53" t="inlineStr">
        <is>
          <t>Lunch IFC food hall</t>
        </is>
      </c>
      <c r="D53" t="inlineStr"/>
      <c r="E53" s="3" t="n">
        <v>-145</v>
      </c>
      <c r="F53" t="inlineStr">
        <is>
          <t>HKD</t>
        </is>
      </c>
      <c r="G53" s="4">
        <f>G52+IF(F53="HKD",E53,IF(F53="USD",E53*'FX Rates'!$B$2,E53*'FX Rates'!$B$3))</f>
        <v/>
      </c>
    </row>
    <row r="54">
      <c r="A54" s="2" t="n">
        <v>45916</v>
      </c>
      <c r="B54" t="inlineStr">
        <is>
          <t>Dinner</t>
        </is>
      </c>
      <c r="C54" t="inlineStr">
        <is>
          <t>Dinner 22 Ships</t>
        </is>
      </c>
      <c r="D54" t="inlineStr">
        <is>
          <t>Misc</t>
        </is>
      </c>
      <c r="E54" s="3" t="n">
        <v>-680</v>
      </c>
      <c r="F54" t="inlineStr">
        <is>
          <t>HKD</t>
        </is>
      </c>
      <c r="G54" s="4">
        <f>G53+IF(F54="HKD",E54,IF(F54="USD",E54*'FX Rates'!$B$2,E54*'FX Rates'!$B$3))</f>
        <v/>
      </c>
    </row>
    <row r="55">
      <c r="A55" s="2" t="n">
        <v>45916</v>
      </c>
      <c r="B55" t="inlineStr">
        <is>
          <t>CitySuper</t>
        </is>
      </c>
      <c r="C55" t="inlineStr">
        <is>
          <t>CitySuper Times Square</t>
        </is>
      </c>
      <c r="D55" t="inlineStr">
        <is>
          <t>Groceries</t>
        </is>
      </c>
      <c r="E55" s="3" t="n">
        <v>-1450</v>
      </c>
      <c r="F55" t="inlineStr">
        <is>
          <t>HKD</t>
        </is>
      </c>
      <c r="G55" s="4">
        <f>G54+IF(F55="HKD",E55,IF(F55="USD",E55*'FX Rates'!$B$2,E55*'FX Rates'!$B$3))</f>
        <v/>
      </c>
    </row>
    <row r="56">
      <c r="A56" s="2" t="n">
        <v>45917</v>
      </c>
      <c r="B56" t="inlineStr">
        <is>
          <t>Starbucks</t>
        </is>
      </c>
      <c r="C56" t="inlineStr">
        <is>
          <t>STARBUCKS-COFFEE-IFC</t>
        </is>
      </c>
      <c r="D56" t="inlineStr"/>
      <c r="E56" s="3" t="n">
        <v>-46</v>
      </c>
      <c r="F56" t="inlineStr">
        <is>
          <t>HKD</t>
        </is>
      </c>
      <c r="G56" s="4">
        <f>G55+IF(F56="HKD",E56,IF(F56="USD",E56*'FX Rates'!$B$2,E56*'FX Rates'!$B$3))</f>
        <v/>
      </c>
    </row>
    <row r="57">
      <c r="A57" s="2" t="n">
        <v>45917</v>
      </c>
      <c r="B57" t="inlineStr">
        <is>
          <t>Pacific Coffee</t>
        </is>
      </c>
      <c r="C57" t="inlineStr">
        <is>
          <t>Pacific Coffee Central</t>
        </is>
      </c>
      <c r="D57" t="inlineStr"/>
      <c r="E57" s="3" t="n">
        <v>-46</v>
      </c>
      <c r="F57" t="inlineStr">
        <is>
          <t>HKD</t>
        </is>
      </c>
      <c r="G57" s="4">
        <f>G56+IF(F57="HKD",E57,IF(F57="USD",E57*'FX Rates'!$B$2,E57*'FX Rates'!$B$3))</f>
        <v/>
      </c>
    </row>
    <row r="58">
      <c r="A58" s="2" t="n">
        <v>45917</v>
      </c>
      <c r="B58" t="inlineStr">
        <is>
          <t>Lunch</t>
        </is>
      </c>
      <c r="C58" t="inlineStr">
        <is>
          <t>Lunch ABC Kitchen</t>
        </is>
      </c>
      <c r="D58" t="inlineStr">
        <is>
          <t>Dining</t>
        </is>
      </c>
      <c r="E58" s="3" t="n">
        <v>-145</v>
      </c>
      <c r="F58" t="inlineStr">
        <is>
          <t>HKD</t>
        </is>
      </c>
      <c r="G58" s="4">
        <f>G57+IF(F58="HKD",E58,IF(F58="USD",E58*'FX Rates'!$B$2,E58*'FX Rates'!$B$3))</f>
        <v/>
      </c>
    </row>
    <row r="59">
      <c r="A59" s="2" t="n">
        <v>45917</v>
      </c>
      <c r="B59" t="inlineStr">
        <is>
          <t>Uber</t>
        </is>
      </c>
      <c r="C59" t="inlineStr">
        <is>
          <t>Uber Ride</t>
        </is>
      </c>
      <c r="D59" t="inlineStr"/>
      <c r="E59" s="3" t="n">
        <v>-95</v>
      </c>
      <c r="F59" t="inlineStr">
        <is>
          <t>HKD</t>
        </is>
      </c>
      <c r="G59" s="4">
        <f>G58+IF(F59="HKD",E59,IF(F59="USD",E59*'FX Rates'!$B$2,E59*'FX Rates'!$B$3))</f>
        <v/>
      </c>
    </row>
    <row r="60">
      <c r="A60" s="2" t="n">
        <v>45917</v>
      </c>
      <c r="B60" t="inlineStr">
        <is>
          <t>ParknShop</t>
        </is>
      </c>
      <c r="C60" t="inlineStr">
        <is>
          <t>PARKNSHOP SUPERMARKET TST</t>
        </is>
      </c>
      <c r="D60" t="inlineStr"/>
      <c r="E60" s="3" t="n">
        <v>-310.2</v>
      </c>
      <c r="F60" t="inlineStr">
        <is>
          <t>HKD</t>
        </is>
      </c>
      <c r="G60" s="4">
        <f>G59+IF(F60="HKD",E60,IF(F60="USD",E60*'FX Rates'!$B$2,E60*'FX Rates'!$B$3))</f>
        <v/>
      </c>
    </row>
    <row r="61">
      <c r="A61" s="2" t="n">
        <v>45918</v>
      </c>
      <c r="B61" t="inlineStr">
        <is>
          <t>Starbucks</t>
        </is>
      </c>
      <c r="C61" t="inlineStr">
        <is>
          <t>STAR*COFFEE_CTRL</t>
        </is>
      </c>
      <c r="D61" t="inlineStr"/>
      <c r="E61" s="3" t="n">
        <v>-58</v>
      </c>
      <c r="F61" t="inlineStr">
        <is>
          <t>HKD</t>
        </is>
      </c>
      <c r="G61" s="4">
        <f>G60+IF(F61="HKD",E61,IF(F61="USD",E61*'FX Rates'!$B$2,E61*'FX Rates'!$B$3))</f>
        <v/>
      </c>
    </row>
    <row r="62">
      <c r="A62" s="2" t="n">
        <v>45918</v>
      </c>
      <c r="B62" t="inlineStr">
        <is>
          <t>Pacific Coffee</t>
        </is>
      </c>
      <c r="C62" t="inlineStr">
        <is>
          <t>Pacific Coffee Central</t>
        </is>
      </c>
      <c r="D62" t="inlineStr"/>
      <c r="E62" s="3" t="n">
        <v>-46</v>
      </c>
      <c r="F62" t="inlineStr">
        <is>
          <t>HKD</t>
        </is>
      </c>
      <c r="G62" s="4">
        <f>G61+IF(F62="HKD",E62,IF(F62="USD",E62*'FX Rates'!$B$2,E62*'FX Rates'!$B$3))</f>
        <v/>
      </c>
    </row>
    <row r="63">
      <c r="A63" s="2" t="n">
        <v>45918</v>
      </c>
      <c r="B63" t="inlineStr">
        <is>
          <t>Lunch</t>
        </is>
      </c>
      <c r="C63" t="inlineStr">
        <is>
          <t>Lunch ABC Kitchen</t>
        </is>
      </c>
      <c r="D63" t="inlineStr">
        <is>
          <t>Dining</t>
        </is>
      </c>
      <c r="E63" s="3" t="n">
        <v>-78</v>
      </c>
      <c r="F63" t="inlineStr">
        <is>
          <t>HKD</t>
        </is>
      </c>
      <c r="G63" s="4">
        <f>G62+IF(F63="HKD",E63,IF(F63="USD",E63*'FX Rates'!$B$2,E63*'FX Rates'!$B$3))</f>
        <v/>
      </c>
    </row>
    <row r="64">
      <c r="A64" s="2" t="n">
        <v>45918</v>
      </c>
      <c r="B64" t="inlineStr">
        <is>
          <t>Dinner</t>
        </is>
      </c>
      <c r="C64" t="inlineStr">
        <is>
          <t>Dinner Yardbird</t>
        </is>
      </c>
      <c r="D64" t="inlineStr"/>
      <c r="E64" s="3" t="n">
        <v>-460</v>
      </c>
      <c r="F64" t="inlineStr">
        <is>
          <t>HKD</t>
        </is>
      </c>
      <c r="G64" s="4">
        <f>G63+IF(F64="HKD",E64,IF(F64="USD",E64*'FX Rates'!$B$2,E64*'FX Rates'!$B$3))</f>
        <v/>
      </c>
    </row>
    <row r="65">
      <c r="A65" s="2" t="n">
        <v>45918</v>
      </c>
      <c r="B65" t="inlineStr">
        <is>
          <t>MTR</t>
        </is>
      </c>
      <c r="C65" t="inlineStr">
        <is>
          <t>MTR Octopus topup</t>
        </is>
      </c>
      <c r="D65" t="inlineStr"/>
      <c r="E65" s="3" t="n">
        <v>-200</v>
      </c>
      <c r="F65" t="inlineStr">
        <is>
          <t>HKD</t>
        </is>
      </c>
      <c r="G65" s="4">
        <f>G64+IF(F65="HKD",E65,IF(F65="USD",E65*'FX Rates'!$B$2,E65*'FX Rates'!$B$3))</f>
        <v/>
      </c>
    </row>
    <row r="66">
      <c r="A66" s="2" t="n">
        <v>45918</v>
      </c>
      <c r="B66" t="inlineStr">
        <is>
          <t>ParknShop</t>
        </is>
      </c>
      <c r="C66" t="inlineStr">
        <is>
          <t>PARKNSHOP SUPERMARKET TST</t>
        </is>
      </c>
      <c r="D66" t="inlineStr"/>
      <c r="E66" s="3" t="n">
        <v>-180.5</v>
      </c>
      <c r="F66" t="inlineStr">
        <is>
          <t>HKD</t>
        </is>
      </c>
      <c r="G66" s="4">
        <f>G65+IF(F66="HKD",E66,IF(F66="USD",E66*'FX Rates'!$B$2,E66*'FX Rates'!$B$3))</f>
        <v/>
      </c>
    </row>
    <row r="67">
      <c r="A67" s="2" t="n">
        <v>45919</v>
      </c>
      <c r="B67" t="inlineStr">
        <is>
          <t>Spotify</t>
        </is>
      </c>
      <c r="C67" t="inlineStr">
        <is>
          <t>SPOTIFY FAMILY</t>
        </is>
      </c>
      <c r="D67" t="inlineStr">
        <is>
          <t>Subscriptions</t>
        </is>
      </c>
      <c r="E67" s="3" t="n">
        <v>-8.99</v>
      </c>
      <c r="F67" t="inlineStr">
        <is>
          <t>USD</t>
        </is>
      </c>
      <c r="G67" s="4">
        <f>G66+IF(F67="HKD",E67,IF(F67="USD",E67*'FX Rates'!$B$2,E67*'FX Rates'!$B$3))</f>
        <v/>
      </c>
    </row>
    <row r="68">
      <c r="A68" s="2" t="n">
        <v>45919</v>
      </c>
      <c r="B68" t="inlineStr">
        <is>
          <t>GitHub Copilot</t>
        </is>
      </c>
      <c r="C68" t="inlineStr">
        <is>
          <t>GITHUB COPILOT</t>
        </is>
      </c>
      <c r="D68" t="inlineStr"/>
      <c r="E68" s="3" t="n">
        <v>-10</v>
      </c>
      <c r="F68" t="inlineStr">
        <is>
          <t>USD</t>
        </is>
      </c>
      <c r="G68" s="4">
        <f>G67+IF(F68="HKD",E68,IF(F68="USD",E68*'FX Rates'!$B$2,E68*'FX Rates'!$B$3))</f>
        <v/>
      </c>
    </row>
    <row r="69">
      <c r="A69" s="2" t="n">
        <v>45919</v>
      </c>
      <c r="B69" t="inlineStr">
        <is>
          <t>Starbucks</t>
        </is>
      </c>
      <c r="C69" t="inlineStr">
        <is>
          <t>STAR*COFFEE_CTRL</t>
        </is>
      </c>
      <c r="D69" t="inlineStr"/>
      <c r="E69" s="3" t="n">
        <v>-58</v>
      </c>
      <c r="F69" t="inlineStr">
        <is>
          <t>HKD</t>
        </is>
      </c>
      <c r="G69" s="4">
        <f>G68+IF(F69="HKD",E69,IF(F69="USD",E69*'FX Rates'!$B$2,E69*'FX Rates'!$B$3))</f>
        <v/>
      </c>
    </row>
    <row r="70">
      <c r="A70" s="2" t="n">
        <v>45919</v>
      </c>
      <c r="B70" t="inlineStr">
        <is>
          <t>Lunch</t>
        </is>
      </c>
      <c r="C70" t="inlineStr">
        <is>
          <t>Lunch IFC food hall</t>
        </is>
      </c>
      <c r="D70" t="inlineStr"/>
      <c r="E70" s="3" t="n">
        <v>-78</v>
      </c>
      <c r="F70" t="inlineStr">
        <is>
          <t>HKD</t>
        </is>
      </c>
      <c r="G70" s="4">
        <f>G69+IF(F70="HKD",E70,IF(F70="USD",E70*'FX Rates'!$B$2,E70*'FX Rates'!$B$3))</f>
        <v/>
      </c>
    </row>
    <row r="71">
      <c r="A71" s="2" t="n">
        <v>45919</v>
      </c>
      <c r="B71" t="inlineStr">
        <is>
          <t>Dinner</t>
        </is>
      </c>
      <c r="C71" t="inlineStr">
        <is>
          <t>Dinner Mott 32</t>
        </is>
      </c>
      <c r="D71" t="inlineStr"/>
      <c r="E71" s="3" t="n">
        <v>-380</v>
      </c>
      <c r="F71" t="inlineStr">
        <is>
          <t>HKD</t>
        </is>
      </c>
      <c r="G71" s="4">
        <f>G70+IF(F71="HKD",E71,IF(F71="USD",E71*'FX Rates'!$B$2,E71*'FX Rates'!$B$3))</f>
        <v/>
      </c>
    </row>
    <row r="72">
      <c r="A72" s="2" t="n">
        <v>45920</v>
      </c>
      <c r="B72" t="inlineStr">
        <is>
          <t>HK Electric</t>
        </is>
      </c>
      <c r="C72" t="inlineStr">
        <is>
          <t>HK ELECTRIC SEP</t>
        </is>
      </c>
      <c r="D72" t="inlineStr">
        <is>
          <t>Utilities</t>
        </is>
      </c>
      <c r="E72" s="3" t="n">
        <v>-753</v>
      </c>
      <c r="F72" t="inlineStr">
        <is>
          <t>HKD</t>
        </is>
      </c>
      <c r="G72" s="4">
        <f>G71+IF(F72="HKD",E72,IF(F72="USD",E72*'FX Rates'!$B$2,E72*'FX Rates'!$B$3))</f>
        <v/>
      </c>
    </row>
    <row r="73">
      <c r="A73" s="2" t="n">
        <v>45920</v>
      </c>
      <c r="B73" t="inlineStr">
        <is>
          <t>Pacific Coffee</t>
        </is>
      </c>
      <c r="C73" t="inlineStr">
        <is>
          <t>Pacific Coffee Central</t>
        </is>
      </c>
      <c r="D73" t="inlineStr"/>
      <c r="E73" s="3" t="n">
        <v>-46</v>
      </c>
      <c r="F73" t="inlineStr">
        <is>
          <t>HKD</t>
        </is>
      </c>
      <c r="G73" s="4">
        <f>G72+IF(F73="HKD",E73,IF(F73="USD",E73*'FX Rates'!$B$2,E73*'FX Rates'!$B$3))</f>
        <v/>
      </c>
    </row>
    <row r="74">
      <c r="A74" s="2" t="n">
        <v>45920</v>
      </c>
      <c r="B74" t="inlineStr">
        <is>
          <t>Dinner</t>
        </is>
      </c>
      <c r="C74" t="inlineStr">
        <is>
          <t>Dinner Ho Lee Fook</t>
        </is>
      </c>
      <c r="D74" t="inlineStr"/>
      <c r="E74" s="3" t="n">
        <v>-680</v>
      </c>
      <c r="F74" t="inlineStr">
        <is>
          <t>HKD</t>
        </is>
      </c>
      <c r="G74" s="4">
        <f>G73+IF(F74="HKD",E74,IF(F74="USD",E74*'FX Rates'!$B$2,E74*'FX Rates'!$B$3))</f>
        <v/>
      </c>
    </row>
    <row r="75">
      <c r="A75" s="2" t="n">
        <v>45921</v>
      </c>
      <c r="B75" t="inlineStr">
        <is>
          <t>Starbucks</t>
        </is>
      </c>
      <c r="C75" t="inlineStr">
        <is>
          <t>STARBUCKS COFFEE WANCHAI</t>
        </is>
      </c>
      <c r="D75" t="inlineStr"/>
      <c r="E75" s="3" t="n">
        <v>-46</v>
      </c>
      <c r="F75" t="inlineStr">
        <is>
          <t>HKD</t>
        </is>
      </c>
      <c r="G75" s="4">
        <f>G74+IF(F75="HKD",E75,IF(F75="USD",E75*'FX Rates'!$B$2,E75*'FX Rates'!$B$3))</f>
        <v/>
      </c>
    </row>
    <row r="76">
      <c r="A76" s="2" t="n">
        <v>45921</v>
      </c>
      <c r="B76" t="inlineStr">
        <is>
          <t>Pacific Coffee</t>
        </is>
      </c>
      <c r="C76" t="inlineStr">
        <is>
          <t>Pacific Coffee Central</t>
        </is>
      </c>
      <c r="D76" t="inlineStr"/>
      <c r="E76" s="3" t="n">
        <v>-46</v>
      </c>
      <c r="F76" t="inlineStr">
        <is>
          <t>HKD</t>
        </is>
      </c>
      <c r="G76" s="4">
        <f>G75+IF(F76="HKD",E76,IF(F76="USD",E76*'FX Rates'!$B$2,E76*'FX Rates'!$B$3))</f>
        <v/>
      </c>
    </row>
    <row r="77">
      <c r="A77" s="2" t="n">
        <v>45921</v>
      </c>
      <c r="B77" t="inlineStr">
        <is>
          <t>Dinner</t>
        </is>
      </c>
      <c r="C77" t="inlineStr">
        <is>
          <t>Dinner Ho Lee Fook</t>
        </is>
      </c>
      <c r="D77" t="inlineStr"/>
      <c r="E77" s="3" t="n">
        <v>-380</v>
      </c>
      <c r="F77" t="inlineStr">
        <is>
          <t>HKD</t>
        </is>
      </c>
      <c r="G77" s="4">
        <f>G76+IF(F77="HKD",E77,IF(F77="USD",E77*'FX Rates'!$B$2,E77*'FX Rates'!$B$3))</f>
        <v/>
      </c>
    </row>
    <row r="78">
      <c r="A78" s="2" t="n">
        <v>45922</v>
      </c>
      <c r="B78" t="inlineStr">
        <is>
          <t>Starbucks</t>
        </is>
      </c>
      <c r="C78" t="inlineStr">
        <is>
          <t>STARBUCKS-COFFEE-CENTRAL</t>
        </is>
      </c>
      <c r="D78" t="inlineStr"/>
      <c r="E78" s="3" t="n">
        <v>-58</v>
      </c>
      <c r="F78" t="inlineStr">
        <is>
          <t>HKD</t>
        </is>
      </c>
      <c r="G78" s="4">
        <f>G77+IF(F78="HKD",E78,IF(F78="USD",E78*'FX Rates'!$B$2,E78*'FX Rates'!$B$3))</f>
        <v/>
      </c>
    </row>
    <row r="79">
      <c r="A79" s="2" t="n">
        <v>45922</v>
      </c>
      <c r="B79" t="inlineStr">
        <is>
          <t>Lunch</t>
        </is>
      </c>
      <c r="C79" t="inlineStr">
        <is>
          <t>Lunch ABC Kitchen</t>
        </is>
      </c>
      <c r="D79" t="inlineStr"/>
      <c r="E79" s="3" t="n">
        <v>-88</v>
      </c>
      <c r="F79" t="inlineStr">
        <is>
          <t>HKD</t>
        </is>
      </c>
      <c r="G79" s="4">
        <f>G78+IF(F79="HKD",E79,IF(F79="USD",E79*'FX Rates'!$B$2,E79*'FX Rates'!$B$3))</f>
        <v/>
      </c>
    </row>
    <row r="80">
      <c r="A80" s="2" t="n">
        <v>45922</v>
      </c>
      <c r="B80" t="inlineStr">
        <is>
          <t>Dinner</t>
        </is>
      </c>
      <c r="C80" t="inlineStr">
        <is>
          <t>Dinner Ho Lee Fook</t>
        </is>
      </c>
      <c r="D80" t="inlineStr"/>
      <c r="E80" s="3" t="n">
        <v>-410</v>
      </c>
      <c r="F80" t="inlineStr">
        <is>
          <t>HKD</t>
        </is>
      </c>
      <c r="G80" s="4">
        <f>G79+IF(F80="HKD",E80,IF(F80="USD",E80*'FX Rates'!$B$2,E80*'FX Rates'!$B$3))</f>
        <v/>
      </c>
    </row>
    <row r="81">
      <c r="A81" s="2" t="n">
        <v>45922</v>
      </c>
      <c r="B81" t="inlineStr">
        <is>
          <t>CitySuper</t>
        </is>
      </c>
      <c r="C81" t="inlineStr">
        <is>
          <t>CitySuper Times Square</t>
        </is>
      </c>
      <c r="D81" t="inlineStr">
        <is>
          <t>Groceries</t>
        </is>
      </c>
      <c r="E81" s="3" t="n">
        <v>-1200</v>
      </c>
      <c r="F81" t="inlineStr">
        <is>
          <t>HKD</t>
        </is>
      </c>
      <c r="G81" s="4">
        <f>G80+IF(F81="HKD",E81,IF(F81="USD",E81*'FX Rates'!$B$2,E81*'FX Rates'!$B$3))</f>
        <v/>
      </c>
    </row>
    <row r="82">
      <c r="A82" s="2" t="n">
        <v>45923</v>
      </c>
      <c r="B82" t="inlineStr">
        <is>
          <t>Lunch</t>
        </is>
      </c>
      <c r="C82" t="inlineStr">
        <is>
          <t>Lunch IFC food hall</t>
        </is>
      </c>
      <c r="D82" t="inlineStr">
        <is>
          <t>Dining</t>
        </is>
      </c>
      <c r="E82" s="3" t="n">
        <v>-78</v>
      </c>
      <c r="F82" t="inlineStr">
        <is>
          <t>HKD</t>
        </is>
      </c>
      <c r="G82" s="4">
        <f>G81+IF(F82="HKD",E82,IF(F82="USD",E82*'FX Rates'!$B$2,E82*'FX Rates'!$B$3))</f>
        <v/>
      </c>
    </row>
    <row r="83">
      <c r="A83" s="2" t="n">
        <v>45924</v>
      </c>
      <c r="B83" t="inlineStr">
        <is>
          <t>Starbucks</t>
        </is>
      </c>
      <c r="C83" t="inlineStr">
        <is>
          <t>STAR*COFFEE_CTRL</t>
        </is>
      </c>
      <c r="D83" t="inlineStr"/>
      <c r="E83" s="3" t="n">
        <v>-58</v>
      </c>
      <c r="F83" t="inlineStr">
        <is>
          <t>HKD</t>
        </is>
      </c>
      <c r="G83" s="4">
        <f>G82+IF(F83="HKD",E83,IF(F83="USD",E83*'FX Rates'!$B$2,E83*'FX Rates'!$B$3))</f>
        <v/>
      </c>
    </row>
    <row r="84">
      <c r="A84" s="2" t="n">
        <v>45924</v>
      </c>
      <c r="B84" t="inlineStr">
        <is>
          <t>Lunch</t>
        </is>
      </c>
      <c r="C84" t="inlineStr">
        <is>
          <t>Brunch Common Ground</t>
        </is>
      </c>
      <c r="D84" t="inlineStr"/>
      <c r="E84" s="3" t="n">
        <v>-88</v>
      </c>
      <c r="F84" t="inlineStr">
        <is>
          <t>HKD</t>
        </is>
      </c>
      <c r="G84" s="4">
        <f>G83+IF(F84="HKD",E84,IF(F84="USD",E84*'FX Rates'!$B$2,E84*'FX Rates'!$B$3))</f>
        <v/>
      </c>
    </row>
    <row r="85">
      <c r="A85" t="inlineStr">
        <is>
          <t>09/25/2025</t>
        </is>
      </c>
      <c r="B85" t="inlineStr">
        <is>
          <t>Lunch</t>
        </is>
      </c>
      <c r="C85" t="inlineStr">
        <is>
          <t>Lunch - Tsui Wah</t>
        </is>
      </c>
      <c r="D85" t="inlineStr"/>
      <c r="E85" s="3" t="n">
        <v>-102</v>
      </c>
      <c r="F85" t="inlineStr">
        <is>
          <t>HKD</t>
        </is>
      </c>
      <c r="G85" s="4">
        <f>G84+IF(F85="HKD",E85,IF(F85="USD",E85*'FX Rates'!$B$2,E85*'FX Rates'!$B$3))</f>
        <v/>
      </c>
    </row>
    <row r="86">
      <c r="A86" s="2" t="n">
        <v>45925</v>
      </c>
      <c r="B86" t="inlineStr">
        <is>
          <t>Dinner</t>
        </is>
      </c>
      <c r="C86" t="inlineStr">
        <is>
          <t>Dinner Ronin</t>
        </is>
      </c>
      <c r="D86" t="inlineStr">
        <is>
          <t>Dining</t>
        </is>
      </c>
      <c r="E86" s="3" t="n">
        <v>-460</v>
      </c>
      <c r="F86" t="inlineStr">
        <is>
          <t>HKD</t>
        </is>
      </c>
      <c r="G86" s="4">
        <f>G85+IF(F86="HKD",E86,IF(F86="USD",E86*'FX Rates'!$B$2,E86*'FX Rates'!$B$3))</f>
        <v/>
      </c>
    </row>
    <row r="87">
      <c r="A87" s="2" t="n">
        <v>45925</v>
      </c>
      <c r="B87" t="inlineStr">
        <is>
          <t>Uber</t>
        </is>
      </c>
      <c r="C87" t="inlineStr">
        <is>
          <t>Uber Ride home</t>
        </is>
      </c>
      <c r="D87" t="inlineStr"/>
      <c r="E87" s="3" t="n">
        <v>-110</v>
      </c>
      <c r="F87" t="inlineStr">
        <is>
          <t>HKD</t>
        </is>
      </c>
      <c r="G87" s="4">
        <f>G86+IF(F87="HKD",E87,IF(F87="USD",E87*'FX Rates'!$B$2,E87*'FX Rates'!$B$3))</f>
        <v/>
      </c>
    </row>
    <row r="88">
      <c r="A88" s="2" t="n">
        <v>45926</v>
      </c>
      <c r="B88" t="inlineStr">
        <is>
          <t>Starbucks</t>
        </is>
      </c>
      <c r="C88" t="inlineStr">
        <is>
          <t>STARBUCKS-COFFEE-CENTRAL</t>
        </is>
      </c>
      <c r="D88" t="inlineStr">
        <is>
          <t>Coffee</t>
        </is>
      </c>
      <c r="E88" s="3" t="n">
        <v>-58</v>
      </c>
      <c r="F88" t="inlineStr">
        <is>
          <t>HKD</t>
        </is>
      </c>
      <c r="G88" s="4">
        <f>G87+IF(F88="HKD",E88,IF(F88="USD",E88*'FX Rates'!$B$2,E88*'FX Rates'!$B$3))</f>
        <v/>
      </c>
    </row>
    <row r="89">
      <c r="A89" s="2" t="n">
        <v>45926</v>
      </c>
      <c r="B89" t="inlineStr">
        <is>
          <t>Lunch</t>
        </is>
      </c>
      <c r="C89" t="inlineStr">
        <is>
          <t>Lunch ABC Kitchen</t>
        </is>
      </c>
      <c r="D89" t="inlineStr">
        <is>
          <t>Dining</t>
        </is>
      </c>
      <c r="E89" s="3" t="n">
        <v>-145</v>
      </c>
      <c r="F89" t="inlineStr">
        <is>
          <t>HKD</t>
        </is>
      </c>
      <c r="G89" s="4">
        <f>G88+IF(F89="HKD",E89,IF(F89="USD",E89*'FX Rates'!$B$2,E89*'FX Rates'!$B$3))</f>
        <v/>
      </c>
    </row>
    <row r="90">
      <c r="A90" s="2" t="n">
        <v>45926</v>
      </c>
      <c r="B90" t="inlineStr">
        <is>
          <t>Uber</t>
        </is>
      </c>
      <c r="C90" t="inlineStr">
        <is>
          <t>Uber Ride to office</t>
        </is>
      </c>
      <c r="D90" t="inlineStr"/>
      <c r="E90" s="3" t="n">
        <v>-95</v>
      </c>
      <c r="F90" t="inlineStr">
        <is>
          <t>HKD</t>
        </is>
      </c>
      <c r="G90" s="4">
        <f>G89+IF(F90="HKD",E90,IF(F90="USD",E90*'FX Rates'!$B$2,E90*'FX Rates'!$B$3))</f>
        <v/>
      </c>
    </row>
    <row r="91">
      <c r="A91" s="2" t="n">
        <v>45927</v>
      </c>
      <c r="B91" t="inlineStr">
        <is>
          <t>Starbucks</t>
        </is>
      </c>
      <c r="C91" t="inlineStr">
        <is>
          <t>STARBUCKS-COFFEE-IFC</t>
        </is>
      </c>
      <c r="D91" t="inlineStr">
        <is>
          <t>Coffee</t>
        </is>
      </c>
      <c r="E91" s="3" t="n">
        <v>-46</v>
      </c>
      <c r="F91" t="inlineStr">
        <is>
          <t>HKD</t>
        </is>
      </c>
      <c r="G91" s="4">
        <f>G90+IF(F91="HKD",E91,IF(F91="USD",E91*'FX Rates'!$B$2,E91*'FX Rates'!$B$3))</f>
        <v/>
      </c>
    </row>
    <row r="92">
      <c r="A92" s="2" t="n">
        <v>45928</v>
      </c>
      <c r="B92" t="inlineStr">
        <is>
          <t>Starbucks</t>
        </is>
      </c>
      <c r="C92" t="inlineStr">
        <is>
          <t>STAR*COFFEE_CTRL</t>
        </is>
      </c>
      <c r="D92" t="inlineStr"/>
      <c r="E92" s="3" t="n">
        <v>-58</v>
      </c>
      <c r="F92" t="inlineStr">
        <is>
          <t>HKD</t>
        </is>
      </c>
      <c r="G92" s="4">
        <f>G91+IF(F92="HKD",E92,IF(F92="USD",E92*'FX Rates'!$B$2,E92*'FX Rates'!$B$3))</f>
        <v/>
      </c>
    </row>
    <row r="93">
      <c r="A93" s="2" t="n">
        <v>45928</v>
      </c>
      <c r="B93" t="inlineStr">
        <is>
          <t>Lunch</t>
        </is>
      </c>
      <c r="C93" t="inlineStr">
        <is>
          <t>Lunch ABC Kitchen</t>
        </is>
      </c>
      <c r="D93" t="inlineStr"/>
      <c r="E93" s="3" t="n">
        <v>-145</v>
      </c>
      <c r="F93" t="inlineStr">
        <is>
          <t>HKD</t>
        </is>
      </c>
      <c r="G93" s="4">
        <f>G92+IF(F93="HKD",E93,IF(F93="USD",E93*'FX Rates'!$B$2,E93*'FX Rates'!$B$3))</f>
        <v/>
      </c>
    </row>
    <row r="94">
      <c r="A94" s="2" t="n">
        <v>45929</v>
      </c>
      <c r="B94" t="inlineStr">
        <is>
          <t>Starbucks</t>
        </is>
      </c>
      <c r="C94" t="inlineStr">
        <is>
          <t>STAR*COFFEE_CTRL</t>
        </is>
      </c>
      <c r="D94" t="inlineStr"/>
      <c r="E94" s="3" t="n">
        <v>-58</v>
      </c>
      <c r="F94" t="inlineStr">
        <is>
          <t>HKD</t>
        </is>
      </c>
      <c r="G94" s="4">
        <f>G93+IF(F94="HKD",E94,IF(F94="USD",E94*'FX Rates'!$B$2,E94*'FX Rates'!$B$3))</f>
        <v/>
      </c>
    </row>
    <row r="95">
      <c r="A95" s="2" t="n">
        <v>45929</v>
      </c>
      <c r="B95" t="inlineStr">
        <is>
          <t>Pacific Coffee</t>
        </is>
      </c>
      <c r="C95" t="inlineStr">
        <is>
          <t>Pacific Coffee Central</t>
        </is>
      </c>
      <c r="D95" t="inlineStr"/>
      <c r="E95" s="3" t="n">
        <v>-46</v>
      </c>
      <c r="F95" t="inlineStr">
        <is>
          <t>HKD</t>
        </is>
      </c>
      <c r="G95" s="4">
        <f>G94+IF(F95="HKD",E95,IF(F95="USD",E95*'FX Rates'!$B$2,E95*'FX Rates'!$B$3))</f>
        <v/>
      </c>
    </row>
    <row r="96">
      <c r="A96" s="2" t="n">
        <v>45929</v>
      </c>
      <c r="B96" t="inlineStr">
        <is>
          <t>Lunch</t>
        </is>
      </c>
      <c r="C96" t="inlineStr">
        <is>
          <t>Lunch ABC Kitchen</t>
        </is>
      </c>
      <c r="D96" t="inlineStr">
        <is>
          <t>Dining</t>
        </is>
      </c>
      <c r="E96" s="3" t="n">
        <v>-120</v>
      </c>
      <c r="F96" t="inlineStr">
        <is>
          <t>HKD</t>
        </is>
      </c>
      <c r="G96" s="4">
        <f>G95+IF(F96="HKD",E96,IF(F96="USD",E96*'FX Rates'!$B$2,E96*'FX Rates'!$B$3))</f>
        <v/>
      </c>
    </row>
    <row r="97">
      <c r="A97" s="2" t="n">
        <v>45929</v>
      </c>
      <c r="B97" t="inlineStr">
        <is>
          <t>Watsons</t>
        </is>
      </c>
      <c r="C97" t="inlineStr">
        <is>
          <t>Watsons - skincare + meds</t>
        </is>
      </c>
      <c r="D97" t="inlineStr"/>
      <c r="E97" s="3" t="n">
        <v>-360</v>
      </c>
      <c r="F97" t="inlineStr">
        <is>
          <t>HKD</t>
        </is>
      </c>
      <c r="G97" s="4">
        <f>G96+IF(F97="HKD",E97,IF(F97="USD",E97*'FX Rates'!$B$2,E97*'FX Rates'!$B$3))</f>
        <v/>
      </c>
    </row>
    <row r="98">
      <c r="A98" s="2" t="n">
        <v>45930</v>
      </c>
      <c r="B98" t="inlineStr">
        <is>
          <t>Starbucks</t>
        </is>
      </c>
      <c r="C98" t="inlineStr">
        <is>
          <t>STARBUCKS-COFFEE-CENTRAL</t>
        </is>
      </c>
      <c r="D98" t="inlineStr"/>
      <c r="E98" s="3" t="n">
        <v>-58</v>
      </c>
      <c r="F98" t="inlineStr">
        <is>
          <t>HKD</t>
        </is>
      </c>
      <c r="G98" s="4">
        <f>G97+IF(F98="HKD",E98,IF(F98="USD",E98*'FX Rates'!$B$2,E98*'FX Rates'!$B$3))</f>
        <v/>
      </c>
    </row>
    <row r="99">
      <c r="A99" s="2" t="n">
        <v>45930</v>
      </c>
      <c r="B99" t="inlineStr">
        <is>
          <t>Lunch</t>
        </is>
      </c>
      <c r="C99" t="inlineStr">
        <is>
          <t>Brunch Common Ground</t>
        </is>
      </c>
      <c r="D99" t="inlineStr">
        <is>
          <t>Dining</t>
        </is>
      </c>
      <c r="E99" s="3" t="n">
        <v>-78</v>
      </c>
      <c r="F99" t="inlineStr">
        <is>
          <t>HKD</t>
        </is>
      </c>
      <c r="G99" s="4">
        <f>G98+IF(F99="HKD",E99,IF(F99="USD",E99*'FX Rates'!$B$2,E99*'FX Rates'!$B$3))</f>
        <v/>
      </c>
    </row>
    <row r="100">
      <c r="A100" s="2" t="n">
        <v>45931</v>
      </c>
      <c r="B100" t="inlineStr">
        <is>
          <t>Salary</t>
        </is>
      </c>
      <c r="C100" t="inlineStr">
        <is>
          <t>Salary Oct - PAYROLL DEPOSIT</t>
        </is>
      </c>
      <c r="D100" t="inlineStr">
        <is>
          <t>Income</t>
        </is>
      </c>
      <c r="E100" s="3" t="n">
        <v>42000</v>
      </c>
      <c r="F100" t="inlineStr">
        <is>
          <t>HKD</t>
        </is>
      </c>
      <c r="G100" s="4">
        <f>G99+IF(F100="HKD",E100,IF(F100="USD",E100*'FX Rates'!$B$2,E100*'FX Rates'!$B$3))</f>
        <v/>
      </c>
    </row>
    <row r="101">
      <c r="A101" s="2" t="n">
        <v>45931</v>
      </c>
      <c r="B101" t="inlineStr">
        <is>
          <t>Starbucks</t>
        </is>
      </c>
      <c r="C101" t="inlineStr">
        <is>
          <t>STARBUCKS-COFFEE-IFC</t>
        </is>
      </c>
      <c r="D101" t="inlineStr">
        <is>
          <t>Coffee</t>
        </is>
      </c>
      <c r="E101" s="3" t="n">
        <v>-46</v>
      </c>
      <c r="F101" t="inlineStr">
        <is>
          <t>HKD</t>
        </is>
      </c>
      <c r="G101" s="4">
        <f>G100+IF(F101="HKD",E101,IF(F101="USD",E101*'FX Rates'!$B$2,E101*'FX Rates'!$B$3))</f>
        <v/>
      </c>
    </row>
    <row r="102">
      <c r="A102" s="2" t="n">
        <v>45931</v>
      </c>
      <c r="B102" t="inlineStr">
        <is>
          <t>Lunch</t>
        </is>
      </c>
      <c r="C102" t="inlineStr">
        <is>
          <t>Brunch Common Ground</t>
        </is>
      </c>
      <c r="D102" t="inlineStr"/>
      <c r="E102" s="3" t="n">
        <v>-88</v>
      </c>
      <c r="F102" t="inlineStr">
        <is>
          <t>HKD</t>
        </is>
      </c>
      <c r="G102" s="4">
        <f>G101+IF(F102="HKD",E102,IF(F102="USD",E102*'FX Rates'!$B$2,E102*'FX Rates'!$B$3))</f>
        <v/>
      </c>
    </row>
    <row r="103">
      <c r="A103" s="2" t="n">
        <v>45931</v>
      </c>
      <c r="B103" t="inlineStr">
        <is>
          <t>Dinner</t>
        </is>
      </c>
      <c r="C103" t="inlineStr">
        <is>
          <t>Dinner Ronin</t>
        </is>
      </c>
      <c r="D103" t="inlineStr">
        <is>
          <t>Dining</t>
        </is>
      </c>
      <c r="E103" s="3" t="n">
        <v>-520</v>
      </c>
      <c r="F103" t="inlineStr">
        <is>
          <t>HKD</t>
        </is>
      </c>
      <c r="G103" s="4">
        <f>G102+IF(F103="HKD",E103,IF(F103="USD",E103*'FX Rates'!$B$2,E103*'FX Rates'!$B$3))</f>
        <v/>
      </c>
    </row>
    <row r="104">
      <c r="A104" s="2" t="n">
        <v>45932</v>
      </c>
      <c r="B104" t="inlineStr">
        <is>
          <t>HKT</t>
        </is>
      </c>
      <c r="C104" t="inlineStr">
        <is>
          <t>HKT BROADBAND OCT</t>
        </is>
      </c>
      <c r="D104" t="inlineStr">
        <is>
          <t>Utilities</t>
        </is>
      </c>
      <c r="E104" s="3" t="n">
        <v>-1280</v>
      </c>
      <c r="F104" t="inlineStr">
        <is>
          <t>HKD</t>
        </is>
      </c>
      <c r="G104" s="4">
        <f>G103+IF(F104="HKD",E104,IF(F104="USD",E104*'FX Rates'!$B$2,E104*'FX Rates'!$B$3))</f>
        <v/>
      </c>
    </row>
    <row r="105">
      <c r="A105" s="2" t="n">
        <v>45932</v>
      </c>
      <c r="B105" t="inlineStr">
        <is>
          <t>Starbucks</t>
        </is>
      </c>
      <c r="C105" t="inlineStr">
        <is>
          <t>STARBUCKS COFFEE WANCHAI</t>
        </is>
      </c>
      <c r="D105" t="inlineStr"/>
      <c r="E105" s="3" t="n">
        <v>-46</v>
      </c>
      <c r="F105" t="inlineStr">
        <is>
          <t>HKD</t>
        </is>
      </c>
      <c r="G105" s="4">
        <f>G104+IF(F105="HKD",E105,IF(F105="USD",E105*'FX Rates'!$B$2,E105*'FX Rates'!$B$3))</f>
        <v/>
      </c>
    </row>
    <row r="106">
      <c r="A106" s="2" t="n">
        <v>45932</v>
      </c>
      <c r="B106" t="inlineStr">
        <is>
          <t>Lunch</t>
        </is>
      </c>
      <c r="C106" t="inlineStr">
        <is>
          <t>Lunch IFC food hall</t>
        </is>
      </c>
      <c r="D106" t="inlineStr"/>
      <c r="E106" s="3" t="n">
        <v>-78</v>
      </c>
      <c r="F106" t="inlineStr">
        <is>
          <t>HKD</t>
        </is>
      </c>
      <c r="G106" s="4">
        <f>G105+IF(F106="HKD",E106,IF(F106="USD",E106*'FX Rates'!$B$2,E106*'FX Rates'!$B$3))</f>
        <v/>
      </c>
    </row>
    <row r="107">
      <c r="A107" s="2" t="n">
        <v>45933</v>
      </c>
      <c r="B107" t="inlineStr">
        <is>
          <t>Starbucks</t>
        </is>
      </c>
      <c r="C107" t="inlineStr">
        <is>
          <t>STARBUCKS-COFFEE-CENTRAL</t>
        </is>
      </c>
      <c r="D107" t="inlineStr"/>
      <c r="E107" s="3" t="n">
        <v>-58</v>
      </c>
      <c r="F107" t="inlineStr">
        <is>
          <t>HKD</t>
        </is>
      </c>
      <c r="G107" s="4">
        <f>G106+IF(F107="HKD",E107,IF(F107="USD",E107*'FX Rates'!$B$2,E107*'FX Rates'!$B$3))</f>
        <v/>
      </c>
    </row>
    <row r="108">
      <c r="A108" s="2" t="n">
        <v>45933</v>
      </c>
      <c r="B108" t="inlineStr">
        <is>
          <t>Lunch</t>
        </is>
      </c>
      <c r="C108" t="inlineStr">
        <is>
          <t>Lunch - Tsui Wah</t>
        </is>
      </c>
      <c r="D108" t="inlineStr">
        <is>
          <t>Dining</t>
        </is>
      </c>
      <c r="E108" s="3" t="n">
        <v>-102</v>
      </c>
      <c r="F108" t="inlineStr">
        <is>
          <t>HKD</t>
        </is>
      </c>
      <c r="G108" s="4">
        <f>G107+IF(F108="HKD",E108,IF(F108="USD",E108*'FX Rates'!$B$2,E108*'FX Rates'!$B$3))</f>
        <v/>
      </c>
    </row>
    <row r="109">
      <c r="A109" s="2" t="n">
        <v>45934</v>
      </c>
      <c r="B109" t="inlineStr">
        <is>
          <t>Rent</t>
        </is>
      </c>
      <c r="C109" t="inlineStr">
        <is>
          <t>Rent transfer - landlord WONG</t>
        </is>
      </c>
      <c r="D109" t="inlineStr"/>
      <c r="E109" s="3" t="n">
        <v>-16500</v>
      </c>
      <c r="F109" t="inlineStr">
        <is>
          <t>HKD</t>
        </is>
      </c>
      <c r="G109" s="4">
        <f>G108+IF(F109="HKD",E109,IF(F109="USD",E109*'FX Rates'!$B$2,E109*'FX Rates'!$B$3))</f>
        <v/>
      </c>
    </row>
    <row r="110">
      <c r="A110" s="2" t="n">
        <v>45934</v>
      </c>
      <c r="B110" t="inlineStr">
        <is>
          <t>Lunch</t>
        </is>
      </c>
      <c r="C110" t="inlineStr">
        <is>
          <t>Lunch - Tsui Wah</t>
        </is>
      </c>
      <c r="D110" t="inlineStr"/>
      <c r="E110" s="3" t="n">
        <v>-102</v>
      </c>
      <c r="F110" t="inlineStr">
        <is>
          <t>HKD</t>
        </is>
      </c>
      <c r="G110" s="4">
        <f>G109+IF(F110="HKD",E110,IF(F110="USD",E110*'FX Rates'!$B$2,E110*'FX Rates'!$B$3))</f>
        <v/>
      </c>
    </row>
    <row r="111">
      <c r="A111" s="2" t="n">
        <v>45934</v>
      </c>
      <c r="B111" t="inlineStr">
        <is>
          <t>Dinner</t>
        </is>
      </c>
      <c r="C111" t="inlineStr">
        <is>
          <t>Dinner 22 Ships</t>
        </is>
      </c>
      <c r="D111" t="inlineStr">
        <is>
          <t>Dining</t>
        </is>
      </c>
      <c r="E111" s="3" t="n">
        <v>-460</v>
      </c>
      <c r="F111" t="inlineStr">
        <is>
          <t>HKD</t>
        </is>
      </c>
      <c r="G111" s="4">
        <f>G110+IF(F111="HKD",E111,IF(F111="USD",E111*'FX Rates'!$B$2,E111*'FX Rates'!$B$3))</f>
        <v/>
      </c>
    </row>
    <row r="112">
      <c r="A112" s="2" t="n">
        <v>45935</v>
      </c>
      <c r="B112" t="inlineStr">
        <is>
          <t>Uber</t>
        </is>
      </c>
      <c r="C112" t="inlineStr">
        <is>
          <t>Uber Ride</t>
        </is>
      </c>
      <c r="D112" t="inlineStr">
        <is>
          <t>Transport</t>
        </is>
      </c>
      <c r="E112" s="3" t="n">
        <v>-95</v>
      </c>
      <c r="F112" t="inlineStr">
        <is>
          <t>HKD</t>
        </is>
      </c>
      <c r="G112" s="4">
        <f>G111+IF(F112="HKD",E112,IF(F112="USD",E112*'FX Rates'!$B$2,E112*'FX Rates'!$B$3))</f>
        <v/>
      </c>
    </row>
    <row r="113">
      <c r="A113" s="2" t="n">
        <v>45936</v>
      </c>
      <c r="B113" t="inlineStr">
        <is>
          <t>Lunch</t>
        </is>
      </c>
      <c r="C113" t="inlineStr">
        <is>
          <t>Lunch ABC Kitchen</t>
        </is>
      </c>
      <c r="D113" t="inlineStr">
        <is>
          <t>Dining</t>
        </is>
      </c>
      <c r="E113" s="3" t="n">
        <v>-120</v>
      </c>
      <c r="F113" t="inlineStr">
        <is>
          <t>HKD</t>
        </is>
      </c>
      <c r="G113" s="4">
        <f>G112+IF(F113="HKD",E113,IF(F113="USD",E113*'FX Rates'!$B$2,E113*'FX Rates'!$B$3))</f>
        <v/>
      </c>
    </row>
    <row r="114">
      <c r="A114" s="2" t="n">
        <v>45936</v>
      </c>
      <c r="B114" t="inlineStr">
        <is>
          <t>ATM</t>
        </is>
      </c>
      <c r="C114" t="inlineStr">
        <is>
          <t>ATM withdrawal HSBC</t>
        </is>
      </c>
      <c r="D114" t="inlineStr"/>
      <c r="E114" s="3" t="n">
        <v>-3000</v>
      </c>
      <c r="F114" t="inlineStr">
        <is>
          <t>HKD</t>
        </is>
      </c>
      <c r="G114" s="4">
        <f>G113+IF(F114="HKD",E114,IF(F114="USD",E114*'FX Rates'!$B$2,E114*'FX Rates'!$B$3))</f>
        <v/>
      </c>
    </row>
    <row r="115">
      <c r="A115" s="2" t="n">
        <v>45937</v>
      </c>
      <c r="B115" t="inlineStr">
        <is>
          <t>CitySuper</t>
        </is>
      </c>
      <c r="C115" t="inlineStr">
        <is>
          <t>CitySuper Times Square</t>
        </is>
      </c>
      <c r="D115" t="inlineStr">
        <is>
          <t>Groceries</t>
        </is>
      </c>
      <c r="E115" s="3" t="n">
        <v>-1200</v>
      </c>
      <c r="F115" t="inlineStr">
        <is>
          <t>HKD</t>
        </is>
      </c>
      <c r="G115" s="4">
        <f>G114+IF(F115="HKD",E115,IF(F115="USD",E115*'FX Rates'!$B$2,E115*'FX Rates'!$B$3))</f>
        <v/>
      </c>
    </row>
    <row r="116">
      <c r="A116" s="2" t="n">
        <v>45938</v>
      </c>
      <c r="B116" t="inlineStr">
        <is>
          <t>iCloud</t>
        </is>
      </c>
      <c r="C116" t="inlineStr">
        <is>
          <t>APPLE.COM/BILL ICLOUD+</t>
        </is>
      </c>
      <c r="D116" t="inlineStr"/>
      <c r="E116" s="3" t="n">
        <v>-2.99</v>
      </c>
      <c r="F116" t="inlineStr">
        <is>
          <t>USD</t>
        </is>
      </c>
      <c r="G116" s="4">
        <f>G115+IF(F116="HKD",E116,IF(F116="USD",E116*'FX Rates'!$B$2,E116*'FX Rates'!$B$3))</f>
        <v/>
      </c>
    </row>
    <row r="117">
      <c r="A117" s="2" t="n">
        <v>45938</v>
      </c>
      <c r="B117" t="inlineStr">
        <is>
          <t>Starbucks</t>
        </is>
      </c>
      <c r="C117" t="inlineStr">
        <is>
          <t>STAR*COFFEE_CTRL</t>
        </is>
      </c>
      <c r="D117" t="inlineStr"/>
      <c r="E117" s="3" t="n">
        <v>-58</v>
      </c>
      <c r="F117" t="inlineStr">
        <is>
          <t>HKD</t>
        </is>
      </c>
      <c r="G117" s="4">
        <f>G116+IF(F117="HKD",E117,IF(F117="USD",E117*'FX Rates'!$B$2,E117*'FX Rates'!$B$3))</f>
        <v/>
      </c>
    </row>
    <row r="118">
      <c r="A118" s="2" t="n">
        <v>45938</v>
      </c>
      <c r="B118" t="inlineStr">
        <is>
          <t>Lunch</t>
        </is>
      </c>
      <c r="C118" t="inlineStr">
        <is>
          <t>Lunch IFC food hall</t>
        </is>
      </c>
      <c r="D118" t="inlineStr">
        <is>
          <t>Dining</t>
        </is>
      </c>
      <c r="E118" s="3" t="n">
        <v>-120</v>
      </c>
      <c r="F118" t="inlineStr">
        <is>
          <t>HKD</t>
        </is>
      </c>
      <c r="G118" s="4">
        <f>G117+IF(F118="HKD",E118,IF(F118="USD",E118*'FX Rates'!$B$2,E118*'FX Rates'!$B$3))</f>
        <v/>
      </c>
    </row>
    <row r="119">
      <c r="A119" s="2" t="n">
        <v>45939</v>
      </c>
      <c r="B119" t="inlineStr">
        <is>
          <t>Pure</t>
        </is>
      </c>
      <c r="C119" t="inlineStr">
        <is>
          <t>Gym membership Pure</t>
        </is>
      </c>
      <c r="D119" t="inlineStr"/>
      <c r="E119" s="3" t="n">
        <v>-1280</v>
      </c>
      <c r="F119" t="inlineStr">
        <is>
          <t>HKD</t>
        </is>
      </c>
      <c r="G119" s="4">
        <f>G118+IF(F119="HKD",E119,IF(F119="USD",E119*'FX Rates'!$B$2,E119*'FX Rates'!$B$3))</f>
        <v/>
      </c>
    </row>
    <row r="120">
      <c r="A120" s="2" t="n">
        <v>45939</v>
      </c>
      <c r="B120" t="inlineStr">
        <is>
          <t>Lunch</t>
        </is>
      </c>
      <c r="C120" t="inlineStr">
        <is>
          <t>Brunch Common Ground</t>
        </is>
      </c>
      <c r="D120" t="inlineStr">
        <is>
          <t>Dining</t>
        </is>
      </c>
      <c r="E120" s="3" t="n">
        <v>-145</v>
      </c>
      <c r="F120" t="inlineStr">
        <is>
          <t>HKD</t>
        </is>
      </c>
      <c r="G120" s="4">
        <f>G119+IF(F120="HKD",E120,IF(F120="USD",E120*'FX Rates'!$B$2,E120*'FX Rates'!$B$3))</f>
        <v/>
      </c>
    </row>
    <row r="121">
      <c r="A121" s="2" t="n">
        <v>45940</v>
      </c>
      <c r="B121" t="inlineStr">
        <is>
          <t>Lunch</t>
        </is>
      </c>
      <c r="C121" t="inlineStr">
        <is>
          <t>Lunch ABC Kitchen</t>
        </is>
      </c>
      <c r="D121" t="inlineStr">
        <is>
          <t>Dining</t>
        </is>
      </c>
      <c r="E121" s="3" t="n">
        <v>-120</v>
      </c>
      <c r="F121" t="inlineStr">
        <is>
          <t>HKD</t>
        </is>
      </c>
      <c r="G121" s="4">
        <f>G120+IF(F121="HKD",E121,IF(F121="USD",E121*'FX Rates'!$B$2,E121*'FX Rates'!$B$3))</f>
        <v/>
      </c>
    </row>
    <row r="122">
      <c r="A122" s="2" t="n">
        <v>45941</v>
      </c>
      <c r="B122" t="inlineStr">
        <is>
          <t>Starbucks</t>
        </is>
      </c>
      <c r="C122" t="inlineStr">
        <is>
          <t>STAR*COFFEE_CTRL</t>
        </is>
      </c>
      <c r="D122" t="inlineStr"/>
      <c r="E122" s="3" t="n">
        <v>-58</v>
      </c>
      <c r="F122" t="inlineStr">
        <is>
          <t>HKD</t>
        </is>
      </c>
      <c r="G122" s="4">
        <f>G121+IF(F122="HKD",E122,IF(F122="USD",E122*'FX Rates'!$B$2,E122*'FX Rates'!$B$3))</f>
        <v/>
      </c>
    </row>
    <row r="123">
      <c r="A123" s="2" t="n">
        <v>45941</v>
      </c>
      <c r="B123" t="inlineStr">
        <is>
          <t>Pacific Coffee</t>
        </is>
      </c>
      <c r="C123" t="inlineStr">
        <is>
          <t>Pacific Coffee Central</t>
        </is>
      </c>
      <c r="D123" t="inlineStr"/>
      <c r="E123" s="3" t="n">
        <v>-46</v>
      </c>
      <c r="F123" t="inlineStr">
        <is>
          <t>HKD</t>
        </is>
      </c>
      <c r="G123" s="4">
        <f>G122+IF(F123="HKD",E123,IF(F123="USD",E123*'FX Rates'!$B$2,E123*'FX Rates'!$B$3))</f>
        <v/>
      </c>
    </row>
    <row r="124">
      <c r="A124" s="2" t="n">
        <v>45942</v>
      </c>
      <c r="B124" t="inlineStr">
        <is>
          <t>Starbucks</t>
        </is>
      </c>
      <c r="C124" t="inlineStr">
        <is>
          <t>STARBUCKS-COFFEE-IFC</t>
        </is>
      </c>
      <c r="D124" t="inlineStr"/>
      <c r="E124" s="3" t="n">
        <v>-46</v>
      </c>
      <c r="F124" t="inlineStr">
        <is>
          <t>HKD</t>
        </is>
      </c>
      <c r="G124" s="4">
        <f>G123+IF(F124="HKD",E124,IF(F124="USD",E124*'FX Rates'!$B$2,E124*'FX Rates'!$B$3))</f>
        <v/>
      </c>
    </row>
    <row r="125">
      <c r="A125" s="2" t="n">
        <v>45942</v>
      </c>
      <c r="B125" t="inlineStr">
        <is>
          <t>Pacific Coffee</t>
        </is>
      </c>
      <c r="C125" t="inlineStr">
        <is>
          <t>Pacific Coffee Central</t>
        </is>
      </c>
      <c r="D125" t="inlineStr"/>
      <c r="E125" s="3" t="n">
        <v>-46</v>
      </c>
      <c r="F125" t="inlineStr">
        <is>
          <t>HKD</t>
        </is>
      </c>
      <c r="G125" s="4">
        <f>G124+IF(F125="HKD",E125,IF(F125="USD",E125*'FX Rates'!$B$2,E125*'FX Rates'!$B$3))</f>
        <v/>
      </c>
    </row>
    <row r="126">
      <c r="A126" s="2" t="n">
        <v>45942</v>
      </c>
      <c r="B126" t="inlineStr">
        <is>
          <t>Lunch</t>
        </is>
      </c>
      <c r="C126" t="inlineStr">
        <is>
          <t>Lunch - Tsui Wah</t>
        </is>
      </c>
      <c r="D126" t="inlineStr">
        <is>
          <t>Dining</t>
        </is>
      </c>
      <c r="E126" s="3" t="n">
        <v>-95</v>
      </c>
      <c r="F126" t="inlineStr">
        <is>
          <t>HKD</t>
        </is>
      </c>
      <c r="G126" s="4">
        <f>G125+IF(F126="HKD",E126,IF(F126="USD",E126*'FX Rates'!$B$2,E126*'FX Rates'!$B$3))</f>
        <v/>
      </c>
    </row>
    <row r="127">
      <c r="A127" s="2" t="n">
        <v>45942</v>
      </c>
      <c r="B127" t="inlineStr">
        <is>
          <t>CitySuper</t>
        </is>
      </c>
      <c r="C127" t="inlineStr">
        <is>
          <t>CitySuper Times Square</t>
        </is>
      </c>
      <c r="D127" t="inlineStr"/>
      <c r="E127" s="3" t="n">
        <v>-1450</v>
      </c>
      <c r="F127" t="inlineStr">
        <is>
          <t>HKD</t>
        </is>
      </c>
      <c r="G127" s="4">
        <f>G126+IF(F127="HKD",E127,IF(F127="USD",E127*'FX Rates'!$B$2,E127*'FX Rates'!$B$3))</f>
        <v/>
      </c>
    </row>
    <row r="128">
      <c r="A128" s="2" t="n">
        <v>45943</v>
      </c>
      <c r="B128" t="inlineStr">
        <is>
          <t>Spotify</t>
        </is>
      </c>
      <c r="C128" t="inlineStr">
        <is>
          <t>SPOTIFY FAMILY</t>
        </is>
      </c>
      <c r="D128" t="inlineStr"/>
      <c r="E128" s="3" t="n">
        <v>-8.99</v>
      </c>
      <c r="F128" t="inlineStr">
        <is>
          <t>USD</t>
        </is>
      </c>
      <c r="G128" s="4">
        <f>G127+IF(F128="HKD",E128,IF(F128="USD",E128*'FX Rates'!$B$2,E128*'FX Rates'!$B$3))</f>
        <v/>
      </c>
    </row>
    <row r="129">
      <c r="A129" s="2" t="n">
        <v>45943</v>
      </c>
      <c r="B129" t="inlineStr">
        <is>
          <t>Starbucks</t>
        </is>
      </c>
      <c r="C129" t="inlineStr">
        <is>
          <t>STARBUCKS COFFEE WANCHAI</t>
        </is>
      </c>
      <c r="D129" t="inlineStr"/>
      <c r="E129" s="3" t="n">
        <v>-46</v>
      </c>
      <c r="F129" t="inlineStr">
        <is>
          <t>HKD</t>
        </is>
      </c>
      <c r="G129" s="4">
        <f>G128+IF(F129="HKD",E129,IF(F129="USD",E129*'FX Rates'!$B$2,E129*'FX Rates'!$B$3))</f>
        <v/>
      </c>
    </row>
    <row r="130">
      <c r="A130" s="2" t="n">
        <v>45944</v>
      </c>
      <c r="B130" t="inlineStr">
        <is>
          <t>Starbucks</t>
        </is>
      </c>
      <c r="C130" t="inlineStr">
        <is>
          <t>STAR*COFFEE_CTRL</t>
        </is>
      </c>
      <c r="D130" t="inlineStr"/>
      <c r="E130" s="3" t="n">
        <v>-58</v>
      </c>
      <c r="F130" t="inlineStr">
        <is>
          <t>HKD</t>
        </is>
      </c>
      <c r="G130" s="4">
        <f>G129+IF(F130="HKD",E130,IF(F130="USD",E130*'FX Rates'!$B$2,E130*'FX Rates'!$B$3))</f>
        <v/>
      </c>
    </row>
    <row r="131">
      <c r="A131" s="2" t="n">
        <v>45944</v>
      </c>
      <c r="B131" t="inlineStr">
        <is>
          <t>Pacific Coffee</t>
        </is>
      </c>
      <c r="C131" t="inlineStr">
        <is>
          <t>Pacific Coffee Central</t>
        </is>
      </c>
      <c r="D131" t="inlineStr"/>
      <c r="E131" s="3" t="n">
        <v>-46</v>
      </c>
      <c r="F131" t="inlineStr">
        <is>
          <t>HKD</t>
        </is>
      </c>
      <c r="G131" s="4">
        <f>G130+IF(F131="HKD",E131,IF(F131="USD",E131*'FX Rates'!$B$2,E131*'FX Rates'!$B$3))</f>
        <v/>
      </c>
    </row>
    <row r="132">
      <c r="A132" s="2" t="n">
        <v>45944</v>
      </c>
      <c r="B132" t="inlineStr">
        <is>
          <t>Uber</t>
        </is>
      </c>
      <c r="C132" t="inlineStr">
        <is>
          <t>Uber Ride to office</t>
        </is>
      </c>
      <c r="D132" t="inlineStr">
        <is>
          <t>Transport</t>
        </is>
      </c>
      <c r="E132" s="3" t="n">
        <v>-95</v>
      </c>
      <c r="F132" t="inlineStr">
        <is>
          <t>HKD</t>
        </is>
      </c>
      <c r="G132" s="4">
        <f>G131+IF(F132="HKD",E132,IF(F132="USD",E132*'FX Rates'!$B$2,E132*'FX Rates'!$B$3))</f>
        <v/>
      </c>
    </row>
    <row r="133">
      <c r="A133" s="2" t="n">
        <v>45945</v>
      </c>
      <c r="B133" t="inlineStr">
        <is>
          <t>SmarTone</t>
        </is>
      </c>
      <c r="C133" t="inlineStr">
        <is>
          <t>SMARTONE MOBILE OCT</t>
        </is>
      </c>
      <c r="D133" t="inlineStr"/>
      <c r="E133" s="3" t="n">
        <v>-398</v>
      </c>
      <c r="F133" t="inlineStr">
        <is>
          <t>HKD</t>
        </is>
      </c>
      <c r="G133" s="4">
        <f>G132+IF(F133="HKD",E133,IF(F133="USD",E133*'FX Rates'!$B$2,E133*'FX Rates'!$B$3))</f>
        <v/>
      </c>
    </row>
    <row r="134">
      <c r="A134" s="2" t="n">
        <v>45945</v>
      </c>
      <c r="B134" t="inlineStr">
        <is>
          <t>Starbucks</t>
        </is>
      </c>
      <c r="C134" t="inlineStr">
        <is>
          <t>STARBUCKS-COFFEE-CENTRAL</t>
        </is>
      </c>
      <c r="D134" t="inlineStr"/>
      <c r="E134" s="3" t="n">
        <v>-58</v>
      </c>
      <c r="F134" t="inlineStr">
        <is>
          <t>HKD</t>
        </is>
      </c>
      <c r="G134" s="4">
        <f>G133+IF(F134="HKD",E134,IF(F134="USD",E134*'FX Rates'!$B$2,E134*'FX Rates'!$B$3))</f>
        <v/>
      </c>
    </row>
    <row r="135">
      <c r="A135" s="2" t="n">
        <v>45945</v>
      </c>
      <c r="B135" t="inlineStr">
        <is>
          <t>Lunch</t>
        </is>
      </c>
      <c r="C135" t="inlineStr">
        <is>
          <t>Lunch - Tsui Wah</t>
        </is>
      </c>
      <c r="D135" t="inlineStr">
        <is>
          <t>Dining</t>
        </is>
      </c>
      <c r="E135" s="3" t="n">
        <v>-78</v>
      </c>
      <c r="F135" t="inlineStr">
        <is>
          <t>HKD</t>
        </is>
      </c>
      <c r="G135" s="4">
        <f>G134+IF(F135="HKD",E135,IF(F135="USD",E135*'FX Rates'!$B$2,E135*'FX Rates'!$B$3))</f>
        <v/>
      </c>
    </row>
    <row r="136">
      <c r="A136" s="2" t="n">
        <v>45945</v>
      </c>
      <c r="B136" t="inlineStr">
        <is>
          <t>Uber</t>
        </is>
      </c>
      <c r="C136" t="inlineStr">
        <is>
          <t>Uber Ride to office</t>
        </is>
      </c>
      <c r="D136" t="inlineStr"/>
      <c r="E136" s="3" t="n">
        <v>-65</v>
      </c>
      <c r="F136" t="inlineStr">
        <is>
          <t>HKD</t>
        </is>
      </c>
      <c r="G136" s="4">
        <f>G135+IF(F136="HKD",E136,IF(F136="USD",E136*'FX Rates'!$B$2,E136*'FX Rates'!$B$3))</f>
        <v/>
      </c>
    </row>
    <row r="137">
      <c r="A137" s="2" t="n">
        <v>45946</v>
      </c>
      <c r="B137" t="inlineStr">
        <is>
          <t>Pacific Coffee</t>
        </is>
      </c>
      <c r="C137" t="inlineStr">
        <is>
          <t>Pacific Coffee Central</t>
        </is>
      </c>
      <c r="D137" t="inlineStr"/>
      <c r="E137" s="3" t="n">
        <v>-46</v>
      </c>
      <c r="F137" t="inlineStr">
        <is>
          <t>HKD</t>
        </is>
      </c>
      <c r="G137" s="4">
        <f>G136+IF(F137="HKD",E137,IF(F137="USD",E137*'FX Rates'!$B$2,E137*'FX Rates'!$B$3))</f>
        <v/>
      </c>
    </row>
    <row r="138">
      <c r="A138" s="2" t="n">
        <v>45946</v>
      </c>
      <c r="B138" t="inlineStr">
        <is>
          <t>Lunch</t>
        </is>
      </c>
      <c r="C138" t="inlineStr">
        <is>
          <t>Lunch Maxim's</t>
        </is>
      </c>
      <c r="D138" t="inlineStr"/>
      <c r="E138" s="3" t="n">
        <v>-120</v>
      </c>
      <c r="F138" t="inlineStr">
        <is>
          <t>HKD</t>
        </is>
      </c>
      <c r="G138" s="4">
        <f>G137+IF(F138="HKD",E138,IF(F138="USD",E138*'FX Rates'!$B$2,E138*'FX Rates'!$B$3))</f>
        <v/>
      </c>
    </row>
    <row r="139">
      <c r="A139" s="2" t="n">
        <v>45946</v>
      </c>
      <c r="B139" t="inlineStr">
        <is>
          <t>Dinner</t>
        </is>
      </c>
      <c r="C139" t="inlineStr">
        <is>
          <t>Dinner Ronin</t>
        </is>
      </c>
      <c r="D139" t="inlineStr"/>
      <c r="E139" s="3" t="n">
        <v>-460</v>
      </c>
      <c r="F139" t="inlineStr">
        <is>
          <t>HKD</t>
        </is>
      </c>
      <c r="G139" s="4">
        <f>G138+IF(F139="HKD",E139,IF(F139="USD",E139*'FX Rates'!$B$2,E139*'FX Rates'!$B$3))</f>
        <v/>
      </c>
    </row>
    <row r="140">
      <c r="A140" s="2" t="n">
        <v>45947</v>
      </c>
      <c r="B140" t="inlineStr">
        <is>
          <t>Starbucks</t>
        </is>
      </c>
      <c r="C140" t="inlineStr">
        <is>
          <t>STARBUCKS COFFEE WANCHAI</t>
        </is>
      </c>
      <c r="D140" t="inlineStr">
        <is>
          <t>Coffee</t>
        </is>
      </c>
      <c r="E140" s="3" t="n">
        <v>-46</v>
      </c>
      <c r="F140" t="inlineStr">
        <is>
          <t>HKD</t>
        </is>
      </c>
      <c r="G140" s="4">
        <f>G139+IF(F140="HKD",E140,IF(F140="USD",E140*'FX Rates'!$B$2,E140*'FX Rates'!$B$3))</f>
        <v/>
      </c>
    </row>
    <row r="141">
      <c r="A141" s="2" t="n">
        <v>45947</v>
      </c>
      <c r="B141" t="inlineStr">
        <is>
          <t>Pacific Coffee</t>
        </is>
      </c>
      <c r="C141" t="inlineStr">
        <is>
          <t>Pacific Coffee Central</t>
        </is>
      </c>
      <c r="D141" t="inlineStr">
        <is>
          <t>Coffee</t>
        </is>
      </c>
      <c r="E141" s="3" t="n">
        <v>-46</v>
      </c>
      <c r="F141" t="inlineStr">
        <is>
          <t>HKD</t>
        </is>
      </c>
      <c r="G141" s="4">
        <f>G140+IF(F141="HKD",E141,IF(F141="USD",E141*'FX Rates'!$B$2,E141*'FX Rates'!$B$3))</f>
        <v/>
      </c>
    </row>
    <row r="142">
      <c r="A142" t="inlineStr">
        <is>
          <t>10/17/2025</t>
        </is>
      </c>
      <c r="B142" t="inlineStr">
        <is>
          <t>Uber</t>
        </is>
      </c>
      <c r="C142" t="inlineStr">
        <is>
          <t>Uber Ride home</t>
        </is>
      </c>
      <c r="D142" t="inlineStr">
        <is>
          <t>Transport</t>
        </is>
      </c>
      <c r="E142" s="3" t="n">
        <v>-85</v>
      </c>
      <c r="F142" t="inlineStr">
        <is>
          <t>HKD</t>
        </is>
      </c>
      <c r="G142" s="4">
        <f>G141+IF(F142="HKD",E142,IF(F142="USD",E142*'FX Rates'!$B$2,E142*'FX Rates'!$B$3))</f>
        <v/>
      </c>
    </row>
    <row r="143">
      <c r="A143" t="inlineStr">
        <is>
          <t>10/17/2025</t>
        </is>
      </c>
      <c r="B143" t="inlineStr">
        <is>
          <t>ParknShop</t>
        </is>
      </c>
      <c r="C143" t="inlineStr">
        <is>
          <t>PARKNSHOP SUPERMARKET TST</t>
        </is>
      </c>
      <c r="D143" t="inlineStr"/>
      <c r="E143" s="3" t="n">
        <v>-150</v>
      </c>
      <c r="F143" t="inlineStr">
        <is>
          <t>HKD</t>
        </is>
      </c>
      <c r="G143" s="4">
        <f>G142+IF(F143="HKD",E143,IF(F143="USD",E143*'FX Rates'!$B$2,E143*'FX Rates'!$B$3))</f>
        <v/>
      </c>
    </row>
    <row r="144">
      <c r="A144" s="2" t="n">
        <v>45948</v>
      </c>
      <c r="B144" t="inlineStr">
        <is>
          <t>Starbucks</t>
        </is>
      </c>
      <c r="C144" t="inlineStr">
        <is>
          <t>STAR*COFFEE_CTRL</t>
        </is>
      </c>
      <c r="D144" t="inlineStr"/>
      <c r="E144" s="3" t="n">
        <v>-58</v>
      </c>
      <c r="F144" t="inlineStr">
        <is>
          <t>HKD</t>
        </is>
      </c>
      <c r="G144" s="4">
        <f>G143+IF(F144="HKD",E144,IF(F144="USD",E144*'FX Rates'!$B$2,E144*'FX Rates'!$B$3))</f>
        <v/>
      </c>
    </row>
    <row r="145">
      <c r="A145" s="2" t="n">
        <v>45948</v>
      </c>
      <c r="B145" t="inlineStr">
        <is>
          <t>Pacific Coffee</t>
        </is>
      </c>
      <c r="C145" t="inlineStr">
        <is>
          <t>Pacific Coffee Central</t>
        </is>
      </c>
      <c r="D145" t="inlineStr"/>
      <c r="E145" s="3" t="n">
        <v>-46</v>
      </c>
      <c r="F145" t="inlineStr">
        <is>
          <t>HKD</t>
        </is>
      </c>
      <c r="G145" s="4">
        <f>G144+IF(F145="HKD",E145,IF(F145="USD",E145*'FX Rates'!$B$2,E145*'FX Rates'!$B$3))</f>
        <v/>
      </c>
    </row>
    <row r="146">
      <c r="A146" s="2" t="n">
        <v>45948</v>
      </c>
      <c r="B146" t="inlineStr">
        <is>
          <t>Lunch</t>
        </is>
      </c>
      <c r="C146" t="inlineStr">
        <is>
          <t>Brunch Common Ground</t>
        </is>
      </c>
      <c r="D146" t="inlineStr">
        <is>
          <t>Dining</t>
        </is>
      </c>
      <c r="E146" s="3" t="n">
        <v>-95</v>
      </c>
      <c r="F146" t="inlineStr">
        <is>
          <t>HKD</t>
        </is>
      </c>
      <c r="G146" s="4">
        <f>G145+IF(F146="HKD",E146,IF(F146="USD",E146*'FX Rates'!$B$2,E146*'FX Rates'!$B$3))</f>
        <v/>
      </c>
    </row>
    <row r="147">
      <c r="A147" s="2" t="n">
        <v>45948</v>
      </c>
      <c r="B147" t="inlineStr">
        <is>
          <t>Amazon JP</t>
        </is>
      </c>
      <c r="C147" t="inlineStr">
        <is>
          <t>AMAZON.CO.JP charged in HKD</t>
        </is>
      </c>
      <c r="D147" t="inlineStr"/>
      <c r="E147" s="3" t="n">
        <v>-284</v>
      </c>
      <c r="F147" t="inlineStr">
        <is>
          <t>HKD</t>
        </is>
      </c>
      <c r="G147" s="4">
        <f>G146+IF(F147="HKD",E147,IF(F147="USD",E147*'FX Rates'!$B$2,E147*'FX Rates'!$B$3))</f>
        <v/>
      </c>
    </row>
    <row r="148">
      <c r="A148" s="2" t="n">
        <v>45949</v>
      </c>
      <c r="B148" t="inlineStr">
        <is>
          <t>Starbucks</t>
        </is>
      </c>
      <c r="C148" t="inlineStr">
        <is>
          <t>STAR*COFFEE_CTRL</t>
        </is>
      </c>
      <c r="D148" t="inlineStr"/>
      <c r="E148" s="3" t="n">
        <v>-58</v>
      </c>
      <c r="F148" t="inlineStr">
        <is>
          <t>HKD</t>
        </is>
      </c>
      <c r="G148" s="4">
        <f>G147+IF(F148="HKD",E148,IF(F148="USD",E148*'FX Rates'!$B$2,E148*'FX Rates'!$B$3))</f>
        <v/>
      </c>
    </row>
    <row r="149">
      <c r="A149" s="2" t="n">
        <v>45950</v>
      </c>
      <c r="B149" t="inlineStr">
        <is>
          <t>HK Electric</t>
        </is>
      </c>
      <c r="C149" t="inlineStr">
        <is>
          <t>HK ELECTRIC OCT</t>
        </is>
      </c>
      <c r="D149" t="inlineStr"/>
      <c r="E149" s="3" t="n">
        <v>-647</v>
      </c>
      <c r="F149" t="inlineStr">
        <is>
          <t>HKD</t>
        </is>
      </c>
      <c r="G149" s="4">
        <f>G148+IF(F149="HKD",E149,IF(F149="USD",E149*'FX Rates'!$B$2,E149*'FX Rates'!$B$3))</f>
        <v/>
      </c>
    </row>
    <row r="150">
      <c r="A150" s="2" t="n">
        <v>45950</v>
      </c>
      <c r="B150" t="inlineStr">
        <is>
          <t>GitHub Copilot</t>
        </is>
      </c>
      <c r="C150" t="inlineStr">
        <is>
          <t>GITHUB COPILOT</t>
        </is>
      </c>
      <c r="D150" t="inlineStr"/>
      <c r="E150" s="3" t="n">
        <v>-10</v>
      </c>
      <c r="F150" t="inlineStr">
        <is>
          <t>USD</t>
        </is>
      </c>
      <c r="G150" s="4">
        <f>G149+IF(F150="HKD",E150,IF(F150="USD",E150*'FX Rates'!$B$2,E150*'FX Rates'!$B$3))</f>
        <v/>
      </c>
    </row>
    <row r="151">
      <c r="A151" s="2" t="n">
        <v>45950</v>
      </c>
      <c r="B151" t="inlineStr">
        <is>
          <t>Dropbox</t>
        </is>
      </c>
      <c r="C151" t="inlineStr">
        <is>
          <t>DROPBOX PLUS</t>
        </is>
      </c>
      <c r="D151" t="inlineStr">
        <is>
          <t>Subscriptions</t>
        </is>
      </c>
      <c r="E151" s="3" t="n">
        <v>-11.99</v>
      </c>
      <c r="F151" t="inlineStr">
        <is>
          <t>USD</t>
        </is>
      </c>
      <c r="G151" s="4">
        <f>G150+IF(F151="HKD",E151,IF(F151="USD",E151*'FX Rates'!$B$2,E151*'FX Rates'!$B$3))</f>
        <v/>
      </c>
    </row>
    <row r="152">
      <c r="A152" s="2" t="n">
        <v>45950</v>
      </c>
      <c r="B152" t="inlineStr">
        <is>
          <t>Lunch</t>
        </is>
      </c>
      <c r="C152" t="inlineStr">
        <is>
          <t>Brunch Common Ground</t>
        </is>
      </c>
      <c r="D152" t="inlineStr">
        <is>
          <t>Dining</t>
        </is>
      </c>
      <c r="E152" s="3" t="n">
        <v>-95</v>
      </c>
      <c r="F152" t="inlineStr">
        <is>
          <t>HKD</t>
        </is>
      </c>
      <c r="G152" s="4">
        <f>G151+IF(F152="HKD",E152,IF(F152="USD",E152*'FX Rates'!$B$2,E152*'FX Rates'!$B$3))</f>
        <v/>
      </c>
    </row>
    <row r="153">
      <c r="A153" s="2" t="n">
        <v>45951</v>
      </c>
      <c r="B153" t="inlineStr">
        <is>
          <t>Starbucks</t>
        </is>
      </c>
      <c r="C153" t="inlineStr">
        <is>
          <t>STARBUCKS COFFEE WANCHAI</t>
        </is>
      </c>
      <c r="D153" t="inlineStr">
        <is>
          <t>Coffee</t>
        </is>
      </c>
      <c r="E153" s="3" t="n">
        <v>-46</v>
      </c>
      <c r="F153" t="inlineStr">
        <is>
          <t>HKD</t>
        </is>
      </c>
      <c r="G153" s="4">
        <f>G152+IF(F153="HKD",E153,IF(F153="USD",E153*'FX Rates'!$B$2,E153*'FX Rates'!$B$3))</f>
        <v/>
      </c>
    </row>
    <row r="154">
      <c r="A154" s="2" t="n">
        <v>45951</v>
      </c>
      <c r="B154" t="inlineStr">
        <is>
          <t>Pacific Coffee</t>
        </is>
      </c>
      <c r="C154" t="inlineStr">
        <is>
          <t>Pacific Coffee Central</t>
        </is>
      </c>
      <c r="D154" t="inlineStr"/>
      <c r="E154" s="3" t="n">
        <v>-46</v>
      </c>
      <c r="F154" t="inlineStr">
        <is>
          <t>HKD</t>
        </is>
      </c>
      <c r="G154" s="4">
        <f>G153+IF(F154="HKD",E154,IF(F154="USD",E154*'FX Rates'!$B$2,E154*'FX Rates'!$B$3))</f>
        <v/>
      </c>
    </row>
    <row r="155">
      <c r="A155" s="2" t="n">
        <v>45951</v>
      </c>
      <c r="B155" t="inlineStr">
        <is>
          <t>Dinner</t>
        </is>
      </c>
      <c r="C155" t="inlineStr">
        <is>
          <t>Dinner Ho Lee Fook</t>
        </is>
      </c>
      <c r="D155" t="inlineStr"/>
      <c r="E155" s="3" t="n">
        <v>-680</v>
      </c>
      <c r="F155" t="inlineStr">
        <is>
          <t>HKD</t>
        </is>
      </c>
      <c r="G155" s="4">
        <f>G154+IF(F155="HKD",E155,IF(F155="USD",E155*'FX Rates'!$B$2,E155*'FX Rates'!$B$3))</f>
        <v/>
      </c>
    </row>
    <row r="156">
      <c r="A156" s="2" t="n">
        <v>45952</v>
      </c>
      <c r="B156" t="inlineStr">
        <is>
          <t>Lunch</t>
        </is>
      </c>
      <c r="C156" t="inlineStr">
        <is>
          <t>Lunch IFC food hall</t>
        </is>
      </c>
      <c r="D156" t="inlineStr"/>
      <c r="E156" s="3" t="n">
        <v>-88</v>
      </c>
      <c r="F156" t="inlineStr">
        <is>
          <t>HKD</t>
        </is>
      </c>
      <c r="G156" s="4">
        <f>G155+IF(F156="HKD",E156,IF(F156="USD",E156*'FX Rates'!$B$2,E156*'FX Rates'!$B$3))</f>
        <v/>
      </c>
    </row>
    <row r="157">
      <c r="A157" s="2" t="n">
        <v>45952</v>
      </c>
      <c r="B157" t="inlineStr">
        <is>
          <t>Uber</t>
        </is>
      </c>
      <c r="C157" t="inlineStr">
        <is>
          <t>Uber Ride home</t>
        </is>
      </c>
      <c r="D157" t="inlineStr">
        <is>
          <t>Transport</t>
        </is>
      </c>
      <c r="E157" s="3" t="n">
        <v>-95</v>
      </c>
      <c r="F157" t="inlineStr">
        <is>
          <t>HKD</t>
        </is>
      </c>
      <c r="G157" s="4">
        <f>G156+IF(F157="HKD",E157,IF(F157="USD",E157*'FX Rates'!$B$2,E157*'FX Rates'!$B$3))</f>
        <v/>
      </c>
    </row>
    <row r="158">
      <c r="A158" s="2" t="n">
        <v>45953</v>
      </c>
      <c r="B158" t="inlineStr">
        <is>
          <t>Lunch</t>
        </is>
      </c>
      <c r="C158" t="inlineStr">
        <is>
          <t>Lunch ABC Kitchen</t>
        </is>
      </c>
      <c r="D158" t="inlineStr">
        <is>
          <t>Dining</t>
        </is>
      </c>
      <c r="E158" s="3" t="n">
        <v>-102</v>
      </c>
      <c r="F158" t="inlineStr">
        <is>
          <t>HKD</t>
        </is>
      </c>
      <c r="G158" s="4">
        <f>G157+IF(F158="HKD",E158,IF(F158="USD",E158*'FX Rates'!$B$2,E158*'FX Rates'!$B$3))</f>
        <v/>
      </c>
    </row>
    <row r="159">
      <c r="A159" s="2" t="n">
        <v>45953</v>
      </c>
      <c r="B159" t="inlineStr">
        <is>
          <t>ATM</t>
        </is>
      </c>
      <c r="C159" t="inlineStr">
        <is>
          <t>ATM withdrawal Central</t>
        </is>
      </c>
      <c r="D159" t="inlineStr"/>
      <c r="E159" s="3" t="n">
        <v>-3000</v>
      </c>
      <c r="F159" t="inlineStr">
        <is>
          <t>HKD</t>
        </is>
      </c>
      <c r="G159" s="4">
        <f>G158+IF(F159="HKD",E159,IF(F159="USD",E159*'FX Rates'!$B$2,E159*'FX Rates'!$B$3))</f>
        <v/>
      </c>
    </row>
    <row r="160">
      <c r="A160" s="2" t="n">
        <v>45954</v>
      </c>
      <c r="B160" t="inlineStr">
        <is>
          <t>Netflix</t>
        </is>
      </c>
      <c r="C160" t="inlineStr">
        <is>
          <t>NETFLIX MONTHLY</t>
        </is>
      </c>
      <c r="D160" t="inlineStr">
        <is>
          <t>Subscriptions</t>
        </is>
      </c>
      <c r="E160" s="3" t="n">
        <v>-12.99</v>
      </c>
      <c r="F160" t="inlineStr">
        <is>
          <t>USD</t>
        </is>
      </c>
      <c r="G160" s="4">
        <f>G159+IF(F160="HKD",E160,IF(F160="USD",E160*'FX Rates'!$B$2,E160*'FX Rates'!$B$3))</f>
        <v/>
      </c>
    </row>
    <row r="161">
      <c r="A161" s="2" t="n">
        <v>45954</v>
      </c>
      <c r="B161" t="inlineStr">
        <is>
          <t>Lunch</t>
        </is>
      </c>
      <c r="C161" t="inlineStr">
        <is>
          <t>Lunch - Tsui Wah</t>
        </is>
      </c>
      <c r="D161" t="inlineStr"/>
      <c r="E161" s="3" t="n">
        <v>-95</v>
      </c>
      <c r="F161" t="inlineStr">
        <is>
          <t>HKD</t>
        </is>
      </c>
      <c r="G161" s="4">
        <f>G160+IF(F161="HKD",E161,IF(F161="USD",E161*'FX Rates'!$B$2,E161*'FX Rates'!$B$3))</f>
        <v/>
      </c>
    </row>
    <row r="162">
      <c r="A162" s="2" t="n">
        <v>45954</v>
      </c>
      <c r="B162" t="inlineStr">
        <is>
          <t>Dinner</t>
        </is>
      </c>
      <c r="C162" t="inlineStr">
        <is>
          <t>Dinner Ho Lee Fook</t>
        </is>
      </c>
      <c r="D162" t="inlineStr"/>
      <c r="E162" s="3" t="n">
        <v>-680</v>
      </c>
      <c r="F162" t="inlineStr">
        <is>
          <t>HKD</t>
        </is>
      </c>
      <c r="G162" s="4">
        <f>G161+IF(F162="HKD",E162,IF(F162="USD",E162*'FX Rates'!$B$2,E162*'FX Rates'!$B$3))</f>
        <v/>
      </c>
    </row>
    <row r="163">
      <c r="A163" s="2" t="n">
        <v>45955</v>
      </c>
      <c r="B163" t="inlineStr">
        <is>
          <t>Adobe</t>
        </is>
      </c>
      <c r="C163" t="inlineStr">
        <is>
          <t>ADOBE CREATIVE CLOUD</t>
        </is>
      </c>
      <c r="D163" t="inlineStr">
        <is>
          <t>Subscriptions</t>
        </is>
      </c>
      <c r="E163" s="3" t="n">
        <v>-54.99</v>
      </c>
      <c r="F163" t="inlineStr">
        <is>
          <t>USD</t>
        </is>
      </c>
      <c r="G163" s="4">
        <f>G162+IF(F163="HKD",E163,IF(F163="USD",E163*'FX Rates'!$B$2,E163*'FX Rates'!$B$3))</f>
        <v/>
      </c>
    </row>
    <row r="164">
      <c r="A164" s="2" t="n">
        <v>45955</v>
      </c>
      <c r="B164" t="inlineStr">
        <is>
          <t>Starbucks</t>
        </is>
      </c>
      <c r="C164" t="inlineStr">
        <is>
          <t>STARBUCKS-COFFEE-CENTRAL</t>
        </is>
      </c>
      <c r="D164" t="inlineStr"/>
      <c r="E164" s="3" t="n">
        <v>-58</v>
      </c>
      <c r="F164" t="inlineStr">
        <is>
          <t>HKD</t>
        </is>
      </c>
      <c r="G164" s="4">
        <f>G163+IF(F164="HKD",E164,IF(F164="USD",E164*'FX Rates'!$B$2,E164*'FX Rates'!$B$3))</f>
        <v/>
      </c>
    </row>
    <row r="165">
      <c r="A165" s="2" t="n">
        <v>45955</v>
      </c>
      <c r="B165" t="inlineStr">
        <is>
          <t>Lunch</t>
        </is>
      </c>
      <c r="C165" t="inlineStr">
        <is>
          <t>Lunch Maxim's</t>
        </is>
      </c>
      <c r="D165" t="inlineStr">
        <is>
          <t>Dining</t>
        </is>
      </c>
      <c r="E165" s="3" t="n">
        <v>-102</v>
      </c>
      <c r="F165" t="inlineStr">
        <is>
          <t>HKD</t>
        </is>
      </c>
      <c r="G165" s="4">
        <f>G164+IF(F165="HKD",E165,IF(F165="USD",E165*'FX Rates'!$B$2,E165*'FX Rates'!$B$3))</f>
        <v/>
      </c>
    </row>
    <row r="166">
      <c r="A166" s="2" t="n">
        <v>45955</v>
      </c>
      <c r="B166" t="inlineStr">
        <is>
          <t>Uber</t>
        </is>
      </c>
      <c r="C166" t="inlineStr">
        <is>
          <t>Uber Ride home</t>
        </is>
      </c>
      <c r="D166" t="inlineStr">
        <is>
          <t>Transport</t>
        </is>
      </c>
      <c r="E166" s="3" t="n">
        <v>-180</v>
      </c>
      <c r="F166" t="inlineStr">
        <is>
          <t>HKD</t>
        </is>
      </c>
      <c r="G166" s="4">
        <f>G165+IF(F166="HKD",E166,IF(F166="USD",E166*'FX Rates'!$B$2,E166*'FX Rates'!$B$3))</f>
        <v/>
      </c>
    </row>
    <row r="167">
      <c r="A167" s="2" t="n">
        <v>45956</v>
      </c>
      <c r="B167" t="inlineStr">
        <is>
          <t>Starbucks</t>
        </is>
      </c>
      <c r="C167" t="inlineStr">
        <is>
          <t>STARBUCKS-COFFEE-IFC</t>
        </is>
      </c>
      <c r="D167" t="inlineStr"/>
      <c r="E167" s="3" t="n">
        <v>-46</v>
      </c>
      <c r="F167" t="inlineStr">
        <is>
          <t>HKD</t>
        </is>
      </c>
      <c r="G167" s="4">
        <f>G166+IF(F167="HKD",E167,IF(F167="USD",E167*'FX Rates'!$B$2,E167*'FX Rates'!$B$3))</f>
        <v/>
      </c>
    </row>
    <row r="168">
      <c r="A168" s="2" t="n">
        <v>45956</v>
      </c>
      <c r="B168" t="inlineStr">
        <is>
          <t>Lunch</t>
        </is>
      </c>
      <c r="C168" t="inlineStr">
        <is>
          <t>Lunch Maxim's</t>
        </is>
      </c>
      <c r="D168" t="inlineStr">
        <is>
          <t>Dining</t>
        </is>
      </c>
      <c r="E168" s="3" t="n">
        <v>-145</v>
      </c>
      <c r="F168" t="inlineStr">
        <is>
          <t>HKD</t>
        </is>
      </c>
      <c r="G168" s="4">
        <f>G167+IF(F168="HKD",E168,IF(F168="USD",E168*'FX Rates'!$B$2,E168*'FX Rates'!$B$3))</f>
        <v/>
      </c>
    </row>
    <row r="169">
      <c r="A169" t="inlineStr">
        <is>
          <t>10/26/2025</t>
        </is>
      </c>
      <c r="B169" t="inlineStr">
        <is>
          <t>Uber</t>
        </is>
      </c>
      <c r="C169" t="inlineStr">
        <is>
          <t>UBER *TRIP</t>
        </is>
      </c>
      <c r="D169" t="inlineStr"/>
      <c r="E169" s="3" t="n">
        <v>-95</v>
      </c>
      <c r="F169" t="inlineStr">
        <is>
          <t>HKD</t>
        </is>
      </c>
      <c r="G169" s="4">
        <f>G168+IF(F169="HKD",E169,IF(F169="USD",E169*'FX Rates'!$B$2,E169*'FX Rates'!$B$3))</f>
        <v/>
      </c>
    </row>
    <row r="170">
      <c r="A170" s="2" t="n">
        <v>45956</v>
      </c>
      <c r="B170" t="inlineStr">
        <is>
          <t>ParknShop</t>
        </is>
      </c>
      <c r="C170" t="inlineStr">
        <is>
          <t>PARKNSHOP SUPERMARKET TST</t>
        </is>
      </c>
      <c r="D170" t="inlineStr">
        <is>
          <t>Groceries</t>
        </is>
      </c>
      <c r="E170" s="3" t="n">
        <v>-310.2</v>
      </c>
      <c r="F170" t="inlineStr">
        <is>
          <t>HKD</t>
        </is>
      </c>
      <c r="G170" s="4">
        <f>G169+IF(F170="HKD",E170,IF(F170="USD",E170*'FX Rates'!$B$2,E170*'FX Rates'!$B$3))</f>
        <v/>
      </c>
    </row>
    <row r="171">
      <c r="A171" s="2" t="n">
        <v>45957</v>
      </c>
      <c r="B171" t="inlineStr">
        <is>
          <t>Lunch</t>
        </is>
      </c>
      <c r="C171" t="inlineStr">
        <is>
          <t>Lunch IFC food hall</t>
        </is>
      </c>
      <c r="D171" t="inlineStr"/>
      <c r="E171" s="3" t="n">
        <v>-120</v>
      </c>
      <c r="F171" t="inlineStr">
        <is>
          <t>HKD</t>
        </is>
      </c>
      <c r="G171" s="4">
        <f>G170+IF(F171="HKD",E171,IF(F171="USD",E171*'FX Rates'!$B$2,E171*'FX Rates'!$B$3))</f>
        <v/>
      </c>
    </row>
    <row r="172">
      <c r="A172" s="2" t="n">
        <v>45958</v>
      </c>
      <c r="B172" t="inlineStr">
        <is>
          <t>Starbucks</t>
        </is>
      </c>
      <c r="C172" t="inlineStr">
        <is>
          <t>STARBUCKS-COFFEE-IFC</t>
        </is>
      </c>
      <c r="D172" t="inlineStr">
        <is>
          <t>Coffee</t>
        </is>
      </c>
      <c r="E172" s="3" t="n">
        <v>-46</v>
      </c>
      <c r="F172" t="inlineStr">
        <is>
          <t>HKD</t>
        </is>
      </c>
      <c r="G172" s="4">
        <f>G171+IF(F172="HKD",E172,IF(F172="USD",E172*'FX Rates'!$B$2,E172*'FX Rates'!$B$3))</f>
        <v/>
      </c>
    </row>
    <row r="173">
      <c r="A173" s="2" t="n">
        <v>45958</v>
      </c>
      <c r="B173" t="inlineStr">
        <is>
          <t>Pacific Coffee</t>
        </is>
      </c>
      <c r="C173" t="inlineStr">
        <is>
          <t>Pacific Coffee Central</t>
        </is>
      </c>
      <c r="D173" t="inlineStr"/>
      <c r="E173" s="3" t="n">
        <v>-46</v>
      </c>
      <c r="F173" t="inlineStr">
        <is>
          <t>HKD</t>
        </is>
      </c>
      <c r="G173" s="4">
        <f>G172+IF(F173="HKD",E173,IF(F173="USD",E173*'FX Rates'!$B$2,E173*'FX Rates'!$B$3))</f>
        <v/>
      </c>
    </row>
    <row r="174">
      <c r="A174" s="2" t="n">
        <v>45958</v>
      </c>
      <c r="B174" t="inlineStr">
        <is>
          <t>Uber</t>
        </is>
      </c>
      <c r="C174" t="inlineStr">
        <is>
          <t>UBER *TRIP</t>
        </is>
      </c>
      <c r="D174" t="inlineStr">
        <is>
          <t>Transport</t>
        </is>
      </c>
      <c r="E174" s="3" t="n">
        <v>-110</v>
      </c>
      <c r="F174" t="inlineStr">
        <is>
          <t>HKD</t>
        </is>
      </c>
      <c r="G174" s="4">
        <f>G173+IF(F174="HKD",E174,IF(F174="USD",E174*'FX Rates'!$B$2,E174*'FX Rates'!$B$3))</f>
        <v/>
      </c>
    </row>
    <row r="175">
      <c r="A175" s="2" t="n">
        <v>45959</v>
      </c>
      <c r="B175" t="inlineStr">
        <is>
          <t>Starbucks</t>
        </is>
      </c>
      <c r="C175" t="inlineStr">
        <is>
          <t>STAR*COFFEE_CTRL</t>
        </is>
      </c>
      <c r="D175" t="inlineStr"/>
      <c r="E175" s="3" t="n">
        <v>-58</v>
      </c>
      <c r="F175" t="inlineStr">
        <is>
          <t>HKD</t>
        </is>
      </c>
      <c r="G175" s="4">
        <f>G174+IF(F175="HKD",E175,IF(F175="USD",E175*'FX Rates'!$B$2,E175*'FX Rates'!$B$3))</f>
        <v/>
      </c>
    </row>
    <row r="176">
      <c r="A176" s="2" t="n">
        <v>45959</v>
      </c>
      <c r="B176" t="inlineStr">
        <is>
          <t>Lunch</t>
        </is>
      </c>
      <c r="C176" t="inlineStr">
        <is>
          <t>Lunch IFC food hall</t>
        </is>
      </c>
      <c r="D176" t="inlineStr"/>
      <c r="E176" s="3" t="n">
        <v>-120</v>
      </c>
      <c r="F176" t="inlineStr">
        <is>
          <t>HKD</t>
        </is>
      </c>
      <c r="G176" s="4">
        <f>G175+IF(F176="HKD",E176,IF(F176="USD",E176*'FX Rates'!$B$2,E176*'FX Rates'!$B$3))</f>
        <v/>
      </c>
    </row>
    <row r="177">
      <c r="A177" s="2" t="n">
        <v>45959</v>
      </c>
      <c r="B177" t="inlineStr">
        <is>
          <t>Uber</t>
        </is>
      </c>
      <c r="C177" t="inlineStr">
        <is>
          <t>Uber Ride home</t>
        </is>
      </c>
      <c r="D177" t="inlineStr"/>
      <c r="E177" s="3" t="n">
        <v>-95</v>
      </c>
      <c r="F177" t="inlineStr">
        <is>
          <t>HKD</t>
        </is>
      </c>
      <c r="G177" s="4">
        <f>G176+IF(F177="HKD",E177,IF(F177="USD",E177*'FX Rates'!$B$2,E177*'FX Rates'!$B$3))</f>
        <v/>
      </c>
    </row>
    <row r="178">
      <c r="A178" s="2" t="n">
        <v>45960</v>
      </c>
      <c r="B178" t="inlineStr">
        <is>
          <t>Starbucks</t>
        </is>
      </c>
      <c r="C178" t="inlineStr">
        <is>
          <t>STARBUCKS-COFFEE-CENTRAL</t>
        </is>
      </c>
      <c r="D178" t="inlineStr">
        <is>
          <t>Coffee</t>
        </is>
      </c>
      <c r="E178" s="3" t="n">
        <v>-58</v>
      </c>
      <c r="F178" t="inlineStr">
        <is>
          <t>HKD</t>
        </is>
      </c>
      <c r="G178" s="4">
        <f>G177+IF(F178="HKD",E178,IF(F178="USD",E178*'FX Rates'!$B$2,E178*'FX Rates'!$B$3))</f>
        <v/>
      </c>
    </row>
    <row r="179">
      <c r="A179" s="2" t="n">
        <v>45960</v>
      </c>
      <c r="B179" t="inlineStr">
        <is>
          <t>Pacific Coffee</t>
        </is>
      </c>
      <c r="C179" t="inlineStr">
        <is>
          <t>Pacific Coffee Central</t>
        </is>
      </c>
      <c r="D179" t="inlineStr"/>
      <c r="E179" s="3" t="n">
        <v>-46</v>
      </c>
      <c r="F179" t="inlineStr">
        <is>
          <t>HKD</t>
        </is>
      </c>
      <c r="G179" s="4">
        <f>G178+IF(F179="HKD",E179,IF(F179="USD",E179*'FX Rates'!$B$2,E179*'FX Rates'!$B$3))</f>
        <v/>
      </c>
    </row>
    <row r="180">
      <c r="A180" s="2" t="n">
        <v>45960</v>
      </c>
      <c r="B180" t="inlineStr">
        <is>
          <t>Lunch</t>
        </is>
      </c>
      <c r="C180" t="inlineStr">
        <is>
          <t>Lunch ABC Kitchen</t>
        </is>
      </c>
      <c r="D180" t="inlineStr">
        <is>
          <t>Dining</t>
        </is>
      </c>
      <c r="E180" s="3" t="n">
        <v>-145</v>
      </c>
      <c r="F180" t="inlineStr">
        <is>
          <t>HKD</t>
        </is>
      </c>
      <c r="G180" s="4">
        <f>G179+IF(F180="HKD",E180,IF(F180="USD",E180*'FX Rates'!$B$2,E180*'FX Rates'!$B$3))</f>
        <v/>
      </c>
    </row>
    <row r="181">
      <c r="A181" s="2" t="n">
        <v>45960</v>
      </c>
      <c r="B181" t="inlineStr">
        <is>
          <t>Uber</t>
        </is>
      </c>
      <c r="C181" t="inlineStr">
        <is>
          <t>Uber Ride home</t>
        </is>
      </c>
      <c r="D181" t="inlineStr"/>
      <c r="E181" s="3" t="n">
        <v>-85</v>
      </c>
      <c r="F181" t="inlineStr">
        <is>
          <t>HKD</t>
        </is>
      </c>
      <c r="G181" s="4">
        <f>G180+IF(F181="HKD",E181,IF(F181="USD",E181*'FX Rates'!$B$2,E181*'FX Rates'!$B$3))</f>
        <v/>
      </c>
    </row>
    <row r="182">
      <c r="A182" s="2" t="n">
        <v>45961</v>
      </c>
      <c r="B182" t="inlineStr">
        <is>
          <t>Starbucks</t>
        </is>
      </c>
      <c r="C182" t="inlineStr">
        <is>
          <t>STARBUCKS-COFFEE-CENTRAL</t>
        </is>
      </c>
      <c r="D182" t="inlineStr">
        <is>
          <t>Coffee</t>
        </is>
      </c>
      <c r="E182" s="3" t="n">
        <v>-58</v>
      </c>
      <c r="F182" t="inlineStr">
        <is>
          <t>HKD</t>
        </is>
      </c>
      <c r="G182" s="4">
        <f>G181+IF(F182="HKD",E182,IF(F182="USD",E182*'FX Rates'!$B$2,E182*'FX Rates'!$B$3))</f>
        <v/>
      </c>
    </row>
    <row r="183">
      <c r="A183" s="2" t="n">
        <v>45961</v>
      </c>
      <c r="B183" t="inlineStr">
        <is>
          <t>Pacific Coffee</t>
        </is>
      </c>
      <c r="C183" t="inlineStr">
        <is>
          <t>Pacific Coffee Central</t>
        </is>
      </c>
      <c r="D183" t="inlineStr"/>
      <c r="E183" s="3" t="n">
        <v>-46</v>
      </c>
      <c r="F183" t="inlineStr">
        <is>
          <t>HKD</t>
        </is>
      </c>
      <c r="G183" s="4">
        <f>G182+IF(F183="HKD",E183,IF(F183="USD",E183*'FX Rates'!$B$2,E183*'FX Rates'!$B$3))</f>
        <v/>
      </c>
    </row>
    <row r="184">
      <c r="A184" s="2" t="n">
        <v>45961</v>
      </c>
      <c r="B184" t="inlineStr">
        <is>
          <t>Lunch</t>
        </is>
      </c>
      <c r="C184" t="inlineStr">
        <is>
          <t>Lunch Maxim's</t>
        </is>
      </c>
      <c r="D184" t="inlineStr"/>
      <c r="E184" s="3" t="n">
        <v>-120</v>
      </c>
      <c r="F184" t="inlineStr">
        <is>
          <t>HKD</t>
        </is>
      </c>
      <c r="G184" s="4">
        <f>G183+IF(F184="HKD",E184,IF(F184="USD",E184*'FX Rates'!$B$2,E184*'FX Rates'!$B$3))</f>
        <v/>
      </c>
    </row>
    <row r="185">
      <c r="A185" s="2" t="n">
        <v>45961</v>
      </c>
      <c r="B185" t="inlineStr">
        <is>
          <t>Dinner</t>
        </is>
      </c>
      <c r="C185" t="inlineStr">
        <is>
          <t>Dinner Ronin</t>
        </is>
      </c>
      <c r="D185" t="inlineStr">
        <is>
          <t>Dining</t>
        </is>
      </c>
      <c r="E185" s="3" t="n">
        <v>-680</v>
      </c>
      <c r="F185" t="inlineStr">
        <is>
          <t>HKD</t>
        </is>
      </c>
      <c r="G185" s="4">
        <f>G184+IF(F185="HKD",E185,IF(F185="USD",E185*'FX Rates'!$B$2,E185*'FX Rates'!$B$3))</f>
        <v/>
      </c>
    </row>
    <row r="186">
      <c r="A186" s="2" t="n">
        <v>45961</v>
      </c>
      <c r="B186" t="inlineStr">
        <is>
          <t>ATM</t>
        </is>
      </c>
      <c r="C186" t="inlineStr">
        <is>
          <t>ATM withdrawal HSBC</t>
        </is>
      </c>
      <c r="D186" t="inlineStr"/>
      <c r="E186" s="3" t="n">
        <v>-3000</v>
      </c>
      <c r="F186" t="inlineStr">
        <is>
          <t>HKD</t>
        </is>
      </c>
      <c r="G186" s="4">
        <f>G185+IF(F186="HKD",E186,IF(F186="USD",E186*'FX Rates'!$B$2,E186*'FX Rates'!$B$3))</f>
        <v/>
      </c>
    </row>
    <row r="187">
      <c r="A187" s="2" t="n">
        <v>45962</v>
      </c>
      <c r="B187" t="inlineStr">
        <is>
          <t>Salary</t>
        </is>
      </c>
      <c r="C187" t="inlineStr">
        <is>
          <t>Salary Nov - PAYROLL DEPOSIT</t>
        </is>
      </c>
      <c r="D187" t="inlineStr"/>
      <c r="E187" s="3" t="n">
        <v>42000</v>
      </c>
      <c r="F187" t="inlineStr">
        <is>
          <t>HKD</t>
        </is>
      </c>
      <c r="G187" s="4">
        <f>G186+IF(F187="HKD",E187,IF(F187="USD",E187*'FX Rates'!$B$2,E187*'FX Rates'!$B$3))</f>
        <v/>
      </c>
    </row>
    <row r="188">
      <c r="A188" s="2" t="n">
        <v>45962</v>
      </c>
      <c r="B188" t="inlineStr">
        <is>
          <t>Starbucks</t>
        </is>
      </c>
      <c r="C188" t="inlineStr">
        <is>
          <t>STARBUCKS-COFFEE-IFC</t>
        </is>
      </c>
      <c r="D188" t="inlineStr"/>
      <c r="E188" s="3" t="n">
        <v>-46</v>
      </c>
      <c r="F188" t="inlineStr">
        <is>
          <t>HKD</t>
        </is>
      </c>
      <c r="G188" s="4">
        <f>G187+IF(F188="HKD",E188,IF(F188="USD",E188*'FX Rates'!$B$2,E188*'FX Rates'!$B$3))</f>
        <v/>
      </c>
    </row>
    <row r="189">
      <c r="A189" s="2" t="n">
        <v>45962</v>
      </c>
      <c r="B189" t="inlineStr">
        <is>
          <t>Pacific Coffee</t>
        </is>
      </c>
      <c r="C189" t="inlineStr">
        <is>
          <t>Pacific Coffee Central</t>
        </is>
      </c>
      <c r="D189" t="inlineStr">
        <is>
          <t>Coffee</t>
        </is>
      </c>
      <c r="E189" s="3" t="n">
        <v>-46</v>
      </c>
      <c r="F189" t="inlineStr">
        <is>
          <t>HKD</t>
        </is>
      </c>
      <c r="G189" s="4">
        <f>G188+IF(F189="HKD",E189,IF(F189="USD",E189*'FX Rates'!$B$2,E189*'FX Rates'!$B$3))</f>
        <v/>
      </c>
    </row>
    <row r="190">
      <c r="A190" s="2" t="n">
        <v>45962</v>
      </c>
      <c r="B190" t="inlineStr">
        <is>
          <t>Lunch</t>
        </is>
      </c>
      <c r="C190" t="inlineStr">
        <is>
          <t>Lunch IFC food hall</t>
        </is>
      </c>
      <c r="D190" t="inlineStr"/>
      <c r="E190" s="3" t="n">
        <v>-95</v>
      </c>
      <c r="F190" t="inlineStr">
        <is>
          <t>HKD</t>
        </is>
      </c>
      <c r="G190" s="4">
        <f>G189+IF(F190="HKD",E190,IF(F190="USD",E190*'FX Rates'!$B$2,E190*'FX Rates'!$B$3))</f>
        <v/>
      </c>
    </row>
    <row r="191">
      <c r="A191" s="2" t="n">
        <v>45962</v>
      </c>
      <c r="B191" t="inlineStr">
        <is>
          <t>Uber</t>
        </is>
      </c>
      <c r="C191" t="inlineStr">
        <is>
          <t>Uber Ride home</t>
        </is>
      </c>
      <c r="D191" t="inlineStr"/>
      <c r="E191" s="3" t="n">
        <v>-85</v>
      </c>
      <c r="F191" t="inlineStr">
        <is>
          <t>HKD</t>
        </is>
      </c>
      <c r="G191" s="4">
        <f>G190+IF(F191="HKD",E191,IF(F191="USD",E191*'FX Rates'!$B$2,E191*'FX Rates'!$B$3))</f>
        <v/>
      </c>
    </row>
    <row r="192">
      <c r="A192" s="2" t="n">
        <v>45963</v>
      </c>
      <c r="B192" t="inlineStr">
        <is>
          <t>HKT</t>
        </is>
      </c>
      <c r="C192" t="inlineStr">
        <is>
          <t>HKT BROADBAND NOV</t>
        </is>
      </c>
      <c r="D192" t="inlineStr"/>
      <c r="E192" s="3" t="n">
        <v>-1280</v>
      </c>
      <c r="F192" t="inlineStr">
        <is>
          <t>HKD</t>
        </is>
      </c>
      <c r="G192" s="4">
        <f>G191+IF(F192="HKD",E192,IF(F192="USD",E192*'FX Rates'!$B$2,E192*'FX Rates'!$B$3))</f>
        <v/>
      </c>
    </row>
    <row r="193">
      <c r="A193" s="2" t="n">
        <v>45963</v>
      </c>
      <c r="B193" t="inlineStr">
        <is>
          <t>Pacific Coffee</t>
        </is>
      </c>
      <c r="C193" t="inlineStr">
        <is>
          <t>Pacific Coffee Central</t>
        </is>
      </c>
      <c r="D193" t="inlineStr"/>
      <c r="E193" s="3" t="n">
        <v>-46</v>
      </c>
      <c r="F193" t="inlineStr">
        <is>
          <t>HKD</t>
        </is>
      </c>
      <c r="G193" s="4">
        <f>G192+IF(F193="HKD",E193,IF(F193="USD",E193*'FX Rates'!$B$2,E193*'FX Rates'!$B$3))</f>
        <v/>
      </c>
    </row>
    <row r="194">
      <c r="A194" s="2" t="n">
        <v>45963</v>
      </c>
      <c r="B194" t="inlineStr">
        <is>
          <t>Lunch</t>
        </is>
      </c>
      <c r="C194" t="inlineStr">
        <is>
          <t>Lunch - Tsui Wah</t>
        </is>
      </c>
      <c r="D194" t="inlineStr"/>
      <c r="E194" s="3" t="n">
        <v>-120</v>
      </c>
      <c r="F194" t="inlineStr">
        <is>
          <t>HKD</t>
        </is>
      </c>
      <c r="G194" s="4">
        <f>G193+IF(F194="HKD",E194,IF(F194="USD",E194*'FX Rates'!$B$2,E194*'FX Rates'!$B$3))</f>
        <v/>
      </c>
    </row>
    <row r="195">
      <c r="A195" s="2" t="n">
        <v>45964</v>
      </c>
      <c r="B195" t="inlineStr">
        <is>
          <t>GitHub Copilot</t>
        </is>
      </c>
      <c r="C195" t="inlineStr">
        <is>
          <t>GITHUB COPILOT</t>
        </is>
      </c>
      <c r="D195" t="inlineStr">
        <is>
          <t>Subscriptions</t>
        </is>
      </c>
      <c r="E195" s="3" t="n">
        <v>-10</v>
      </c>
      <c r="F195" t="inlineStr">
        <is>
          <t>USD</t>
        </is>
      </c>
      <c r="G195" s="4">
        <f>G194+IF(F195="HKD",E195,IF(F195="USD",E195*'FX Rates'!$B$2,E195*'FX Rates'!$B$3))</f>
        <v/>
      </c>
    </row>
    <row r="196">
      <c r="A196" s="2" t="n">
        <v>45964</v>
      </c>
      <c r="B196" t="inlineStr">
        <is>
          <t>Starbucks</t>
        </is>
      </c>
      <c r="C196" t="inlineStr">
        <is>
          <t>STAR*COFFEE_CTRL</t>
        </is>
      </c>
      <c r="D196" t="inlineStr"/>
      <c r="E196" s="3" t="n">
        <v>-58</v>
      </c>
      <c r="F196" t="inlineStr">
        <is>
          <t>HKD</t>
        </is>
      </c>
      <c r="G196" s="4">
        <f>G195+IF(F196="HKD",E196,IF(F196="USD",E196*'FX Rates'!$B$2,E196*'FX Rates'!$B$3))</f>
        <v/>
      </c>
    </row>
    <row r="197">
      <c r="A197" s="2" t="n">
        <v>45964</v>
      </c>
      <c r="B197" t="inlineStr">
        <is>
          <t>Dinner</t>
        </is>
      </c>
      <c r="C197" t="inlineStr">
        <is>
          <t>Dinner Mott 32</t>
        </is>
      </c>
      <c r="D197" t="inlineStr">
        <is>
          <t>Dining</t>
        </is>
      </c>
      <c r="E197" s="3" t="n">
        <v>-680</v>
      </c>
      <c r="F197" t="inlineStr">
        <is>
          <t>HKD</t>
        </is>
      </c>
      <c r="G197" s="4">
        <f>G196+IF(F197="HKD",E197,IF(F197="USD",E197*'FX Rates'!$B$2,E197*'FX Rates'!$B$3))</f>
        <v/>
      </c>
    </row>
    <row r="198">
      <c r="A198" s="2" t="n">
        <v>45965</v>
      </c>
      <c r="B198" t="inlineStr">
        <is>
          <t>Rent</t>
        </is>
      </c>
      <c r="C198" t="inlineStr">
        <is>
          <t>Rent transfer - landlord WONG</t>
        </is>
      </c>
      <c r="D198" t="inlineStr">
        <is>
          <t>Housing</t>
        </is>
      </c>
      <c r="E198" s="3" t="n">
        <v>-16500</v>
      </c>
      <c r="F198" t="inlineStr">
        <is>
          <t>HKD</t>
        </is>
      </c>
      <c r="G198" s="4">
        <f>G197+IF(F198="HKD",E198,IF(F198="USD",E198*'FX Rates'!$B$2,E198*'FX Rates'!$B$3))</f>
        <v/>
      </c>
    </row>
    <row r="199">
      <c r="A199" s="2" t="n">
        <v>45965</v>
      </c>
      <c r="B199" t="inlineStr">
        <is>
          <t>Starbucks</t>
        </is>
      </c>
      <c r="C199" t="inlineStr">
        <is>
          <t>STAR*COFFEE_CTRL</t>
        </is>
      </c>
      <c r="D199" t="inlineStr"/>
      <c r="E199" s="3" t="n">
        <v>-58</v>
      </c>
      <c r="F199" t="inlineStr">
        <is>
          <t>HKD</t>
        </is>
      </c>
      <c r="G199" s="4">
        <f>G198+IF(F199="HKD",E199,IF(F199="USD",E199*'FX Rates'!$B$2,E199*'FX Rates'!$B$3))</f>
        <v/>
      </c>
    </row>
    <row r="200">
      <c r="A200" s="2" t="n">
        <v>45965</v>
      </c>
      <c r="B200" t="inlineStr">
        <is>
          <t>Dinner</t>
        </is>
      </c>
      <c r="C200" t="inlineStr">
        <is>
          <t>Dinner 22 Ships</t>
        </is>
      </c>
      <c r="D200" t="inlineStr"/>
      <c r="E200" s="3" t="n">
        <v>-380</v>
      </c>
      <c r="F200" t="inlineStr">
        <is>
          <t>HKD</t>
        </is>
      </c>
      <c r="G200" s="4">
        <f>G199+IF(F200="HKD",E200,IF(F200="USD",E200*'FX Rates'!$B$2,E200*'FX Rates'!$B$3))</f>
        <v/>
      </c>
    </row>
    <row r="201">
      <c r="A201" s="2" t="n">
        <v>45965</v>
      </c>
      <c r="B201" t="inlineStr">
        <is>
          <t>CitySuper</t>
        </is>
      </c>
      <c r="C201" t="inlineStr">
        <is>
          <t>CitySuper Times Square</t>
        </is>
      </c>
      <c r="D201" t="inlineStr">
        <is>
          <t>Groceries</t>
        </is>
      </c>
      <c r="E201" s="3" t="n">
        <v>-980</v>
      </c>
      <c r="F201" t="inlineStr">
        <is>
          <t>HKD</t>
        </is>
      </c>
      <c r="G201" s="4">
        <f>G200+IF(F201="HKD",E201,IF(F201="USD",E201*'FX Rates'!$B$2,E201*'FX Rates'!$B$3))</f>
        <v/>
      </c>
    </row>
    <row r="202">
      <c r="A202" s="2" t="n">
        <v>45965</v>
      </c>
      <c r="B202" t="inlineStr">
        <is>
          <t>Watsons</t>
        </is>
      </c>
      <c r="C202" t="inlineStr">
        <is>
          <t>Watsons - skincare + meds</t>
        </is>
      </c>
      <c r="D202" t="inlineStr"/>
      <c r="E202" s="3" t="n">
        <v>-720</v>
      </c>
      <c r="F202" t="inlineStr">
        <is>
          <t>HKD</t>
        </is>
      </c>
      <c r="G202" s="4">
        <f>G201+IF(F202="HKD",E202,IF(F202="USD",E202*'FX Rates'!$B$2,E202*'FX Rates'!$B$3))</f>
        <v/>
      </c>
    </row>
    <row r="203">
      <c r="A203" s="2" t="n">
        <v>45966</v>
      </c>
      <c r="B203" t="inlineStr">
        <is>
          <t>Starbucks</t>
        </is>
      </c>
      <c r="C203" t="inlineStr">
        <is>
          <t>STARBUCKS-COFFEE-CENTRAL</t>
        </is>
      </c>
      <c r="D203" t="inlineStr">
        <is>
          <t>Coffee</t>
        </is>
      </c>
      <c r="E203" s="3" t="n">
        <v>-58</v>
      </c>
      <c r="F203" t="inlineStr">
        <is>
          <t>HKD</t>
        </is>
      </c>
      <c r="G203" s="4">
        <f>G202+IF(F203="HKD",E203,IF(F203="USD",E203*'FX Rates'!$B$2,E203*'FX Rates'!$B$3))</f>
        <v/>
      </c>
    </row>
    <row r="204">
      <c r="A204" s="2" t="n">
        <v>45966</v>
      </c>
      <c r="B204" t="inlineStr">
        <is>
          <t>Lunch</t>
        </is>
      </c>
      <c r="C204" t="inlineStr">
        <is>
          <t>Lunch ABC Kitchen</t>
        </is>
      </c>
      <c r="D204" t="inlineStr"/>
      <c r="E204" s="3" t="n">
        <v>-95</v>
      </c>
      <c r="F204" t="inlineStr">
        <is>
          <t>HKD</t>
        </is>
      </c>
      <c r="G204" s="4">
        <f>G203+IF(F204="HKD",E204,IF(F204="USD",E204*'FX Rates'!$B$2,E204*'FX Rates'!$B$3))</f>
        <v/>
      </c>
    </row>
    <row r="205">
      <c r="A205" s="2" t="n">
        <v>45966</v>
      </c>
      <c r="B205" t="inlineStr">
        <is>
          <t>Dinner</t>
        </is>
      </c>
      <c r="C205" t="inlineStr">
        <is>
          <t>Dinner 22 Ships</t>
        </is>
      </c>
      <c r="D205" t="inlineStr">
        <is>
          <t>Dining</t>
        </is>
      </c>
      <c r="E205" s="3" t="n">
        <v>-460</v>
      </c>
      <c r="F205" t="inlineStr">
        <is>
          <t>HKD</t>
        </is>
      </c>
      <c r="G205" s="4">
        <f>G204+IF(F205="HKD",E205,IF(F205="USD",E205*'FX Rates'!$B$2,E205*'FX Rates'!$B$3))</f>
        <v/>
      </c>
    </row>
    <row r="206">
      <c r="A206" s="2" t="n">
        <v>45966</v>
      </c>
      <c r="B206" t="inlineStr">
        <is>
          <t>Amazon JP</t>
        </is>
      </c>
      <c r="C206" t="inlineStr">
        <is>
          <t>AMAZON.CO.JP charged in HKD</t>
        </is>
      </c>
      <c r="D206" t="inlineStr"/>
      <c r="E206" s="3" t="n">
        <v>-612.4</v>
      </c>
      <c r="F206" t="inlineStr">
        <is>
          <t>HKD</t>
        </is>
      </c>
      <c r="G206" s="4">
        <f>G205+IF(F206="HKD",E206,IF(F206="USD",E206*'FX Rates'!$B$2,E206*'FX Rates'!$B$3))</f>
        <v/>
      </c>
    </row>
    <row r="207">
      <c r="A207" s="2" t="n">
        <v>45967</v>
      </c>
      <c r="B207" t="inlineStr">
        <is>
          <t>iCloud</t>
        </is>
      </c>
      <c r="C207" t="inlineStr">
        <is>
          <t>APPLE.COM/BILL ICLOUD+</t>
        </is>
      </c>
      <c r="D207" t="inlineStr"/>
      <c r="E207" s="3" t="n">
        <v>-2.99</v>
      </c>
      <c r="F207" t="inlineStr">
        <is>
          <t>USD</t>
        </is>
      </c>
      <c r="G207" s="4">
        <f>G206+IF(F207="HKD",E207,IF(F207="USD",E207*'FX Rates'!$B$2,E207*'FX Rates'!$B$3))</f>
        <v/>
      </c>
    </row>
    <row r="208">
      <c r="A208" s="2" t="n">
        <v>45967</v>
      </c>
      <c r="B208" t="inlineStr">
        <is>
          <t>Starbucks</t>
        </is>
      </c>
      <c r="C208" t="inlineStr">
        <is>
          <t>STAR*COFFEE_CTRL</t>
        </is>
      </c>
      <c r="D208" t="inlineStr"/>
      <c r="E208" s="3" t="n">
        <v>-58</v>
      </c>
      <c r="F208" t="inlineStr">
        <is>
          <t>HKD</t>
        </is>
      </c>
      <c r="G208" s="4">
        <f>G207+IF(F208="HKD",E208,IF(F208="USD",E208*'FX Rates'!$B$2,E208*'FX Rates'!$B$3))</f>
        <v/>
      </c>
    </row>
    <row r="209">
      <c r="A209" s="2" t="n">
        <v>45967</v>
      </c>
      <c r="B209" t="inlineStr">
        <is>
          <t>MTR</t>
        </is>
      </c>
      <c r="C209" t="inlineStr">
        <is>
          <t>MTR Octopus topup</t>
        </is>
      </c>
      <c r="D209" t="inlineStr">
        <is>
          <t>Transport</t>
        </is>
      </c>
      <c r="E209" s="3" t="n">
        <v>-200</v>
      </c>
      <c r="F209" t="inlineStr">
        <is>
          <t>HKD</t>
        </is>
      </c>
      <c r="G209" s="4">
        <f>G208+IF(F209="HKD",E209,IF(F209="USD",E209*'FX Rates'!$B$2,E209*'FX Rates'!$B$3))</f>
        <v/>
      </c>
    </row>
    <row r="210">
      <c r="A210" s="2" t="n">
        <v>45967</v>
      </c>
      <c r="B210" t="inlineStr">
        <is>
          <t>ParknShop</t>
        </is>
      </c>
      <c r="C210" t="inlineStr">
        <is>
          <t>PARKNSHOP SUPERMARKET TST</t>
        </is>
      </c>
      <c r="D210" t="inlineStr">
        <is>
          <t>Groceries</t>
        </is>
      </c>
      <c r="E210" s="3" t="n">
        <v>-280.4</v>
      </c>
      <c r="F210" t="inlineStr">
        <is>
          <t>HKD</t>
        </is>
      </c>
      <c r="G210" s="4">
        <f>G209+IF(F210="HKD",E210,IF(F210="USD",E210*'FX Rates'!$B$2,E210*'FX Rates'!$B$3))</f>
        <v/>
      </c>
    </row>
    <row r="211">
      <c r="A211" s="2" t="n">
        <v>45967</v>
      </c>
      <c r="B211" t="inlineStr">
        <is>
          <t>CitySuper</t>
        </is>
      </c>
      <c r="C211" t="inlineStr">
        <is>
          <t>CitySuper Times Square</t>
        </is>
      </c>
      <c r="D211" t="inlineStr"/>
      <c r="E211" s="3" t="n">
        <v>-1620</v>
      </c>
      <c r="F211" t="inlineStr">
        <is>
          <t>HKD</t>
        </is>
      </c>
      <c r="G211" s="4">
        <f>G210+IF(F211="HKD",E211,IF(F211="USD",E211*'FX Rates'!$B$2,E211*'FX Rates'!$B$3))</f>
        <v/>
      </c>
    </row>
    <row r="212">
      <c r="A212" s="2" t="n">
        <v>45968</v>
      </c>
      <c r="B212" t="inlineStr">
        <is>
          <t>Starbucks</t>
        </is>
      </c>
      <c r="C212" t="inlineStr">
        <is>
          <t>STARBUCKS-COFFEE-IFC</t>
        </is>
      </c>
      <c r="D212" t="inlineStr"/>
      <c r="E212" s="3" t="n">
        <v>-46</v>
      </c>
      <c r="F212" t="inlineStr">
        <is>
          <t>HKD</t>
        </is>
      </c>
      <c r="G212" s="4">
        <f>G211+IF(F212="HKD",E212,IF(F212="USD",E212*'FX Rates'!$B$2,E212*'FX Rates'!$B$3))</f>
        <v/>
      </c>
    </row>
    <row r="213">
      <c r="A213" s="2" t="n">
        <v>45968</v>
      </c>
      <c r="B213" t="inlineStr">
        <is>
          <t>Lunch</t>
        </is>
      </c>
      <c r="C213" t="inlineStr">
        <is>
          <t>Lunch ABC Kitchen</t>
        </is>
      </c>
      <c r="D213" t="inlineStr"/>
      <c r="E213" s="3" t="n">
        <v>-88</v>
      </c>
      <c r="F213" t="inlineStr">
        <is>
          <t>HKD</t>
        </is>
      </c>
      <c r="G213" s="4">
        <f>G212+IF(F213="HKD",E213,IF(F213="USD",E213*'FX Rates'!$B$2,E213*'FX Rates'!$B$3))</f>
        <v/>
      </c>
    </row>
    <row r="214">
      <c r="A214" s="2" t="n">
        <v>45968</v>
      </c>
      <c r="B214" t="inlineStr">
        <is>
          <t>Uber</t>
        </is>
      </c>
      <c r="C214" t="inlineStr">
        <is>
          <t>Uber Ride</t>
        </is>
      </c>
      <c r="D214" t="inlineStr"/>
      <c r="E214" s="3" t="n">
        <v>-65</v>
      </c>
      <c r="F214" t="inlineStr">
        <is>
          <t>HKD</t>
        </is>
      </c>
      <c r="G214" s="4">
        <f>G213+IF(F214="HKD",E214,IF(F214="USD",E214*'FX Rates'!$B$2,E214*'FX Rates'!$B$3))</f>
        <v/>
      </c>
    </row>
    <row r="215">
      <c r="A215" s="2" t="n">
        <v>45968</v>
      </c>
      <c r="B215" t="inlineStr">
        <is>
          <t>ParknShop</t>
        </is>
      </c>
      <c r="C215" t="inlineStr">
        <is>
          <t>PARKNSHOP SUPERMARKET TST</t>
        </is>
      </c>
      <c r="D215" t="inlineStr"/>
      <c r="E215" s="3" t="n">
        <v>-310.2</v>
      </c>
      <c r="F215" t="inlineStr">
        <is>
          <t>HKD</t>
        </is>
      </c>
      <c r="G215" s="4">
        <f>G214+IF(F215="HKD",E215,IF(F215="USD",E215*'FX Rates'!$B$2,E215*'FX Rates'!$B$3))</f>
        <v/>
      </c>
    </row>
    <row r="216">
      <c r="A216" s="2" t="n">
        <v>45969</v>
      </c>
      <c r="B216" t="inlineStr">
        <is>
          <t>Starbucks</t>
        </is>
      </c>
      <c r="C216" t="inlineStr">
        <is>
          <t>STAR*COFFEE_CTRL</t>
        </is>
      </c>
      <c r="D216" t="inlineStr"/>
      <c r="E216" s="3" t="n">
        <v>-58</v>
      </c>
      <c r="F216" t="inlineStr">
        <is>
          <t>HKD</t>
        </is>
      </c>
      <c r="G216" s="4">
        <f>G215+IF(F216="HKD",E216,IF(F216="USD",E216*'FX Rates'!$B$2,E216*'FX Rates'!$B$3))</f>
        <v/>
      </c>
    </row>
    <row r="217">
      <c r="A217" s="2" t="n">
        <v>45969</v>
      </c>
      <c r="B217" t="inlineStr">
        <is>
          <t>Lunch</t>
        </is>
      </c>
      <c r="C217" t="inlineStr">
        <is>
          <t>Lunch Maxim's</t>
        </is>
      </c>
      <c r="D217" t="inlineStr">
        <is>
          <t>Dining</t>
        </is>
      </c>
      <c r="E217" s="3" t="n">
        <v>-88</v>
      </c>
      <c r="F217" t="inlineStr">
        <is>
          <t>HKD</t>
        </is>
      </c>
      <c r="G217" s="4">
        <f>G216+IF(F217="HKD",E217,IF(F217="USD",E217*'FX Rates'!$B$2,E217*'FX Rates'!$B$3))</f>
        <v/>
      </c>
    </row>
    <row r="218">
      <c r="A218" s="2" t="n">
        <v>45970</v>
      </c>
      <c r="B218" t="inlineStr">
        <is>
          <t>Pure</t>
        </is>
      </c>
      <c r="C218" t="inlineStr">
        <is>
          <t>Gym membership Pure</t>
        </is>
      </c>
      <c r="D218" t="inlineStr">
        <is>
          <t>Subscriptions</t>
        </is>
      </c>
      <c r="E218" s="3" t="n">
        <v>-1280</v>
      </c>
      <c r="F218" t="inlineStr">
        <is>
          <t>HKD</t>
        </is>
      </c>
      <c r="G218" s="4">
        <f>G217+IF(F218="HKD",E218,IF(F218="USD",E218*'FX Rates'!$B$2,E218*'FX Rates'!$B$3))</f>
        <v/>
      </c>
    </row>
    <row r="219">
      <c r="A219" s="2" t="n">
        <v>45970</v>
      </c>
      <c r="B219" t="inlineStr">
        <is>
          <t>Netflix</t>
        </is>
      </c>
      <c r="C219" t="inlineStr">
        <is>
          <t>NETFLIX MONTHLY</t>
        </is>
      </c>
      <c r="D219" t="inlineStr"/>
      <c r="E219" s="3" t="n">
        <v>-12.99</v>
      </c>
      <c r="F219" t="inlineStr">
        <is>
          <t>USD</t>
        </is>
      </c>
      <c r="G219" s="4">
        <f>G218+IF(F219="HKD",E219,IF(F219="USD",E219*'FX Rates'!$B$2,E219*'FX Rates'!$B$3))</f>
        <v/>
      </c>
    </row>
    <row r="220">
      <c r="A220" s="2" t="n">
        <v>45970</v>
      </c>
      <c r="B220" t="inlineStr">
        <is>
          <t>Starbucks</t>
        </is>
      </c>
      <c r="C220" t="inlineStr">
        <is>
          <t>STARBUCKS COFFEE WANCHAI</t>
        </is>
      </c>
      <c r="D220" t="inlineStr">
        <is>
          <t>Coffee</t>
        </is>
      </c>
      <c r="E220" s="3" t="n">
        <v>-46</v>
      </c>
      <c r="F220" t="inlineStr">
        <is>
          <t>HKD</t>
        </is>
      </c>
      <c r="G220" s="4">
        <f>G219+IF(F220="HKD",E220,IF(F220="USD",E220*'FX Rates'!$B$2,E220*'FX Rates'!$B$3))</f>
        <v/>
      </c>
    </row>
    <row r="221">
      <c r="A221" s="2" t="n">
        <v>45970</v>
      </c>
      <c r="B221" t="inlineStr">
        <is>
          <t>Pacific Coffee</t>
        </is>
      </c>
      <c r="C221" t="inlineStr">
        <is>
          <t>Pacific Coffee Central</t>
        </is>
      </c>
      <c r="D221" t="inlineStr">
        <is>
          <t>Coffee</t>
        </is>
      </c>
      <c r="E221" s="3" t="n">
        <v>-46</v>
      </c>
      <c r="F221" t="inlineStr">
        <is>
          <t>HKD</t>
        </is>
      </c>
      <c r="G221" s="4">
        <f>G220+IF(F221="HKD",E221,IF(F221="USD",E221*'FX Rates'!$B$2,E221*'FX Rates'!$B$3))</f>
        <v/>
      </c>
    </row>
    <row r="222">
      <c r="A222" s="2" t="n">
        <v>45970</v>
      </c>
      <c r="B222" t="inlineStr">
        <is>
          <t>Lunch</t>
        </is>
      </c>
      <c r="C222" t="inlineStr">
        <is>
          <t>Lunch ABC Kitchen</t>
        </is>
      </c>
      <c r="D222" t="inlineStr">
        <is>
          <t>Dining</t>
        </is>
      </c>
      <c r="E222" s="3" t="n">
        <v>-145</v>
      </c>
      <c r="F222" t="inlineStr">
        <is>
          <t>HKD</t>
        </is>
      </c>
      <c r="G222" s="4">
        <f>G221+IF(F222="HKD",E222,IF(F222="USD",E222*'FX Rates'!$B$2,E222*'FX Rates'!$B$3))</f>
        <v/>
      </c>
    </row>
    <row r="223">
      <c r="A223" s="2" t="n">
        <v>45970</v>
      </c>
      <c r="B223" t="inlineStr">
        <is>
          <t>Uber</t>
        </is>
      </c>
      <c r="C223" t="inlineStr">
        <is>
          <t>UBER *TRIP</t>
        </is>
      </c>
      <c r="D223" t="inlineStr">
        <is>
          <t>Transport</t>
        </is>
      </c>
      <c r="E223" s="3" t="n">
        <v>-180</v>
      </c>
      <c r="F223" t="inlineStr">
        <is>
          <t>HKD</t>
        </is>
      </c>
      <c r="G223" s="4">
        <f>G222+IF(F223="HKD",E223,IF(F223="USD",E223*'FX Rates'!$B$2,E223*'FX Rates'!$B$3))</f>
        <v/>
      </c>
    </row>
    <row r="224">
      <c r="A224" s="2" t="n">
        <v>45971</v>
      </c>
      <c r="B224" t="inlineStr">
        <is>
          <t>Starbucks</t>
        </is>
      </c>
      <c r="C224" t="inlineStr">
        <is>
          <t>STARBUCKS COFFEE WANCHAI</t>
        </is>
      </c>
      <c r="D224" t="inlineStr">
        <is>
          <t>Coffee</t>
        </is>
      </c>
      <c r="E224" s="3" t="n">
        <v>-46</v>
      </c>
      <c r="F224" t="inlineStr">
        <is>
          <t>HKD</t>
        </is>
      </c>
      <c r="G224" s="4">
        <f>G223+IF(F224="HKD",E224,IF(F224="USD",E224*'FX Rates'!$B$2,E224*'FX Rates'!$B$3))</f>
        <v/>
      </c>
    </row>
    <row r="225">
      <c r="A225" s="2" t="n">
        <v>45971</v>
      </c>
      <c r="B225" t="inlineStr">
        <is>
          <t>Pacific Coffee</t>
        </is>
      </c>
      <c r="C225" t="inlineStr">
        <is>
          <t>Pacific Coffee Central</t>
        </is>
      </c>
      <c r="D225" t="inlineStr">
        <is>
          <t>Other</t>
        </is>
      </c>
      <c r="E225" s="3" t="n">
        <v>-46</v>
      </c>
      <c r="F225" t="inlineStr">
        <is>
          <t>HKD</t>
        </is>
      </c>
      <c r="G225" s="4">
        <f>G224+IF(F225="HKD",E225,IF(F225="USD",E225*'FX Rates'!$B$2,E225*'FX Rates'!$B$3))</f>
        <v/>
      </c>
    </row>
    <row r="226">
      <c r="A226" s="2" t="n">
        <v>45972</v>
      </c>
      <c r="B226" t="inlineStr">
        <is>
          <t>Lunch</t>
        </is>
      </c>
      <c r="C226" t="inlineStr">
        <is>
          <t>Lunch ABC Kitchen</t>
        </is>
      </c>
      <c r="D226" t="inlineStr">
        <is>
          <t>Dining</t>
        </is>
      </c>
      <c r="E226" s="3" t="n">
        <v>-102</v>
      </c>
      <c r="F226" t="inlineStr">
        <is>
          <t>HKD</t>
        </is>
      </c>
      <c r="G226" s="4">
        <f>G225+IF(F226="HKD",E226,IF(F226="USD",E226*'FX Rates'!$B$2,E226*'FX Rates'!$B$3))</f>
        <v/>
      </c>
    </row>
    <row r="227">
      <c r="A227" s="2" t="n">
        <v>45972</v>
      </c>
      <c r="B227" t="inlineStr">
        <is>
          <t>Hotel Tokyo</t>
        </is>
      </c>
      <c r="C227" t="inlineStr">
        <is>
          <t>Hotel Tokyo Shibuya</t>
        </is>
      </c>
      <c r="D227" t="inlineStr">
        <is>
          <t>Travel</t>
        </is>
      </c>
      <c r="E227" s="3" t="n">
        <v>-68500</v>
      </c>
      <c r="F227" t="inlineStr">
        <is>
          <t>JPY</t>
        </is>
      </c>
      <c r="G227" s="4">
        <f>G226+IF(F227="HKD",E227,IF(F227="USD",E227*'FX Rates'!$B$2,E227*'FX Rates'!$B$3))</f>
        <v/>
      </c>
    </row>
    <row r="228">
      <c r="A228" s="2" t="n">
        <v>45972</v>
      </c>
      <c r="B228" t="inlineStr">
        <is>
          <t>Dinner Ginza</t>
        </is>
      </c>
      <c r="C228" t="inlineStr">
        <is>
          <t>Dinner Ginza</t>
        </is>
      </c>
      <c r="D228" t="inlineStr"/>
      <c r="E228" s="3" t="n">
        <v>-8500</v>
      </c>
      <c r="F228" t="inlineStr">
        <is>
          <t>JPY</t>
        </is>
      </c>
      <c r="G228" s="4">
        <f>G227+IF(F228="HKD",E228,IF(F228="USD",E228*'FX Rates'!$B$2,E228*'FX Rates'!$B$3))</f>
        <v/>
      </c>
    </row>
    <row r="229">
      <c r="A229" s="2" t="n">
        <v>45973</v>
      </c>
      <c r="B229" t="inlineStr">
        <is>
          <t>Starbucks</t>
        </is>
      </c>
      <c r="C229" t="inlineStr">
        <is>
          <t>STARBUCKS-COFFEE-IFC</t>
        </is>
      </c>
      <c r="D229" t="inlineStr">
        <is>
          <t>Coffee</t>
        </is>
      </c>
      <c r="E229" s="3" t="n">
        <v>-46</v>
      </c>
      <c r="F229" t="inlineStr">
        <is>
          <t>HKD</t>
        </is>
      </c>
      <c r="G229" s="4">
        <f>G228+IF(F229="HKD",E229,IF(F229="USD",E229*'FX Rates'!$B$2,E229*'FX Rates'!$B$3))</f>
        <v/>
      </c>
    </row>
    <row r="230">
      <c r="A230" s="2" t="n">
        <v>45973</v>
      </c>
      <c r="B230" t="inlineStr">
        <is>
          <t>Pacific Coffee</t>
        </is>
      </c>
      <c r="C230" t="inlineStr">
        <is>
          <t>Pacific Coffee Central</t>
        </is>
      </c>
      <c r="D230" t="inlineStr"/>
      <c r="E230" s="3" t="n">
        <v>-46</v>
      </c>
      <c r="F230" t="inlineStr">
        <is>
          <t>HKD</t>
        </is>
      </c>
      <c r="G230" s="4">
        <f>G229+IF(F230="HKD",E230,IF(F230="USD",E230*'FX Rates'!$B$2,E230*'FX Rates'!$B$3))</f>
        <v/>
      </c>
    </row>
    <row r="231">
      <c r="A231" s="2" t="n">
        <v>45973</v>
      </c>
      <c r="B231" t="inlineStr">
        <is>
          <t>Uber</t>
        </is>
      </c>
      <c r="C231" t="inlineStr">
        <is>
          <t>UBER *TRIP</t>
        </is>
      </c>
      <c r="D231" t="inlineStr"/>
      <c r="E231" s="3" t="n">
        <v>-110</v>
      </c>
      <c r="F231" t="inlineStr">
        <is>
          <t>HKD</t>
        </is>
      </c>
      <c r="G231" s="4">
        <f>G230+IF(F231="HKD",E231,IF(F231="USD",E231*'FX Rates'!$B$2,E231*'FX Rates'!$B$3))</f>
        <v/>
      </c>
    </row>
    <row r="232">
      <c r="A232" s="2" t="n">
        <v>45973</v>
      </c>
      <c r="B232" t="inlineStr">
        <is>
          <t>Lunch Tokyo</t>
        </is>
      </c>
      <c r="C232" t="inlineStr">
        <is>
          <t>Lunch + cafe Tokyo</t>
        </is>
      </c>
      <c r="D232" t="inlineStr"/>
      <c r="E232" s="3" t="n">
        <v>-2850</v>
      </c>
      <c r="F232" t="inlineStr">
        <is>
          <t>JPY</t>
        </is>
      </c>
      <c r="G232" s="4">
        <f>G231+IF(F232="HKD",E232,IF(F232="USD",E232*'FX Rates'!$B$2,E232*'FX Rates'!$B$3))</f>
        <v/>
      </c>
    </row>
    <row r="233">
      <c r="A233" s="2" t="n">
        <v>45973</v>
      </c>
      <c r="B233" t="inlineStr">
        <is>
          <t>Uniqlo Tokyo</t>
        </is>
      </c>
      <c r="C233" t="inlineStr">
        <is>
          <t>Uniqlo Tokyo Shinjuku</t>
        </is>
      </c>
      <c r="D233" t="inlineStr"/>
      <c r="E233" s="3" t="n">
        <v>-12800</v>
      </c>
      <c r="F233" t="inlineStr">
        <is>
          <t>JPY</t>
        </is>
      </c>
      <c r="G233" s="4">
        <f>G232+IF(F233="HKD",E233,IF(F233="USD",E233*'FX Rates'!$B$2,E233*'FX Rates'!$B$3))</f>
        <v/>
      </c>
    </row>
    <row r="234">
      <c r="A234" s="2" t="n">
        <v>45974</v>
      </c>
      <c r="B234" t="inlineStr">
        <is>
          <t>Starbucks</t>
        </is>
      </c>
      <c r="C234" t="inlineStr">
        <is>
          <t>STARBUCKS-COFFEE-CENTRAL</t>
        </is>
      </c>
      <c r="D234" t="inlineStr">
        <is>
          <t>Coffee</t>
        </is>
      </c>
      <c r="E234" s="3" t="n">
        <v>-58</v>
      </c>
      <c r="F234" t="inlineStr">
        <is>
          <t>HKD</t>
        </is>
      </c>
      <c r="G234" s="4">
        <f>G233+IF(F234="HKD",E234,IF(F234="USD",E234*'FX Rates'!$B$2,E234*'FX Rates'!$B$3))</f>
        <v/>
      </c>
    </row>
    <row r="235">
      <c r="A235" s="2" t="n">
        <v>45974</v>
      </c>
      <c r="B235" t="inlineStr">
        <is>
          <t>Pacific Coffee</t>
        </is>
      </c>
      <c r="C235" t="inlineStr">
        <is>
          <t>Pacific Coffee Central</t>
        </is>
      </c>
      <c r="D235" t="inlineStr"/>
      <c r="E235" s="3" t="n">
        <v>-46</v>
      </c>
      <c r="F235" t="inlineStr">
        <is>
          <t>HKD</t>
        </is>
      </c>
      <c r="G235" s="4">
        <f>G234+IF(F235="HKD",E235,IF(F235="USD",E235*'FX Rates'!$B$2,E235*'FX Rates'!$B$3))</f>
        <v/>
      </c>
    </row>
    <row r="236">
      <c r="A236" s="2" t="n">
        <v>45974</v>
      </c>
      <c r="B236" t="inlineStr">
        <is>
          <t>Taxi</t>
        </is>
      </c>
      <c r="C236" t="inlineStr">
        <is>
          <t>Taxi + train Tokyo</t>
        </is>
      </c>
      <c r="D236" t="inlineStr">
        <is>
          <t>Transport</t>
        </is>
      </c>
      <c r="E236" s="3" t="n">
        <v>-4500</v>
      </c>
      <c r="F236" t="inlineStr">
        <is>
          <t>JPY</t>
        </is>
      </c>
      <c r="G236" s="4">
        <f>G235+IF(F236="HKD",E236,IF(F236="USD",E236*'FX Rates'!$B$2,E236*'FX Rates'!$B$3))</f>
        <v/>
      </c>
    </row>
    <row r="237">
      <c r="A237" s="2" t="n">
        <v>45974</v>
      </c>
      <c r="B237" t="inlineStr">
        <is>
          <t>Dinner Shinjuku</t>
        </is>
      </c>
      <c r="C237" t="inlineStr">
        <is>
          <t>Dinner Shinjuku</t>
        </is>
      </c>
      <c r="D237" t="inlineStr">
        <is>
          <t>Dining</t>
        </is>
      </c>
      <c r="E237" s="3" t="n">
        <v>-6800</v>
      </c>
      <c r="F237" t="inlineStr">
        <is>
          <t>JPY</t>
        </is>
      </c>
      <c r="G237" s="4">
        <f>G236+IF(F237="HKD",E237,IF(F237="USD",E237*'FX Rates'!$B$2,E237*'FX Rates'!$B$3))</f>
        <v/>
      </c>
    </row>
    <row r="238">
      <c r="A238" s="2" t="n">
        <v>45975</v>
      </c>
      <c r="B238" t="inlineStr">
        <is>
          <t>Starbucks</t>
        </is>
      </c>
      <c r="C238" t="inlineStr">
        <is>
          <t>STAR*COFFEE_CTRL</t>
        </is>
      </c>
      <c r="D238" t="inlineStr"/>
      <c r="E238" s="3" t="n">
        <v>-58</v>
      </c>
      <c r="F238" t="inlineStr">
        <is>
          <t>HKD</t>
        </is>
      </c>
      <c r="G238" s="4">
        <f>G237+IF(F238="HKD",E238,IF(F238="USD",E238*'FX Rates'!$B$2,E238*'FX Rates'!$B$3))</f>
        <v/>
      </c>
    </row>
    <row r="239">
      <c r="A239" s="2" t="n">
        <v>45975</v>
      </c>
      <c r="B239" t="inlineStr">
        <is>
          <t>Uber</t>
        </is>
      </c>
      <c r="C239" t="inlineStr">
        <is>
          <t>Uber Ride home</t>
        </is>
      </c>
      <c r="D239" t="inlineStr">
        <is>
          <t>Transport</t>
        </is>
      </c>
      <c r="E239" s="3" t="n">
        <v>-95</v>
      </c>
      <c r="F239" t="inlineStr">
        <is>
          <t>HKD</t>
        </is>
      </c>
      <c r="G239" s="4">
        <f>G238+IF(F239="HKD",E239,IF(F239="USD",E239*'FX Rates'!$B$2,E239*'FX Rates'!$B$3))</f>
        <v/>
      </c>
    </row>
    <row r="240">
      <c r="A240" s="2" t="n">
        <v>45975</v>
      </c>
      <c r="B240" t="inlineStr">
        <is>
          <t>Cafe breakfast</t>
        </is>
      </c>
      <c r="C240" t="inlineStr">
        <is>
          <t>Cafe + breakfast Tokyo</t>
        </is>
      </c>
      <c r="D240" t="inlineStr"/>
      <c r="E240" s="3" t="n">
        <v>-2200</v>
      </c>
      <c r="F240" t="inlineStr">
        <is>
          <t>JPY</t>
        </is>
      </c>
      <c r="G240" s="4">
        <f>G239+IF(F240="HKD",E240,IF(F240="USD",E240*'FX Rates'!$B$2,E240*'FX Rates'!$B$3))</f>
        <v/>
      </c>
    </row>
    <row r="241">
      <c r="A241" s="2" t="n">
        <v>45975</v>
      </c>
      <c r="B241" t="inlineStr">
        <is>
          <t>Flight HKG</t>
        </is>
      </c>
      <c r="C241" t="inlineStr">
        <is>
          <t>ANA flight TYO-HKG</t>
        </is>
      </c>
      <c r="D241" t="inlineStr">
        <is>
          <t>Travel</t>
        </is>
      </c>
      <c r="E241" s="3" t="n">
        <v>-38500</v>
      </c>
      <c r="F241" t="inlineStr">
        <is>
          <t>JPY</t>
        </is>
      </c>
      <c r="G241" s="4">
        <f>G240+IF(F241="HKD",E241,IF(F241="USD",E241*'FX Rates'!$B$2,E241*'FX Rates'!$B$3))</f>
        <v/>
      </c>
    </row>
    <row r="242">
      <c r="A242" s="2" t="n">
        <v>45976</v>
      </c>
      <c r="B242" t="inlineStr">
        <is>
          <t>SmarTone</t>
        </is>
      </c>
      <c r="C242" t="inlineStr">
        <is>
          <t>SMARTONE MOBILE NOV</t>
        </is>
      </c>
      <c r="D242" t="inlineStr"/>
      <c r="E242" s="3" t="n">
        <v>-398</v>
      </c>
      <c r="F242" t="inlineStr">
        <is>
          <t>HKD</t>
        </is>
      </c>
      <c r="G242" s="4">
        <f>G241+IF(F242="HKD",E242,IF(F242="USD",E242*'FX Rates'!$B$2,E242*'FX Rates'!$B$3))</f>
        <v/>
      </c>
    </row>
    <row r="243">
      <c r="A243" s="2" t="n">
        <v>45976</v>
      </c>
      <c r="B243" t="inlineStr">
        <is>
          <t>Lunch</t>
        </is>
      </c>
      <c r="C243" t="inlineStr">
        <is>
          <t>Lunch ABC Kitchen</t>
        </is>
      </c>
      <c r="D243" t="inlineStr">
        <is>
          <t>Dining</t>
        </is>
      </c>
      <c r="E243" s="3" t="n">
        <v>-145</v>
      </c>
      <c r="F243" t="inlineStr">
        <is>
          <t>HKD</t>
        </is>
      </c>
      <c r="G243" s="4">
        <f>G242+IF(F243="HKD",E243,IF(F243="USD",E243*'FX Rates'!$B$2,E243*'FX Rates'!$B$3))</f>
        <v/>
      </c>
    </row>
    <row r="244">
      <c r="A244" s="2" t="n">
        <v>45976</v>
      </c>
      <c r="B244" t="inlineStr">
        <is>
          <t>Uber</t>
        </is>
      </c>
      <c r="C244" t="inlineStr">
        <is>
          <t>Uber Ride to office</t>
        </is>
      </c>
      <c r="D244" t="inlineStr">
        <is>
          <t>Transport</t>
        </is>
      </c>
      <c r="E244" s="3" t="n">
        <v>-180</v>
      </c>
      <c r="F244" t="inlineStr">
        <is>
          <t>HKD</t>
        </is>
      </c>
      <c r="G244" s="4">
        <f>G243+IF(F244="HKD",E244,IF(F244="USD",E244*'FX Rates'!$B$2,E244*'FX Rates'!$B$3))</f>
        <v/>
      </c>
    </row>
    <row r="245">
      <c r="A245" s="2" t="n">
        <v>45977</v>
      </c>
      <c r="B245" t="inlineStr">
        <is>
          <t>Spotify</t>
        </is>
      </c>
      <c r="C245" t="inlineStr">
        <is>
          <t>SPOTIFY FAMILY</t>
        </is>
      </c>
      <c r="D245" t="inlineStr"/>
      <c r="E245" s="3" t="n">
        <v>-8.99</v>
      </c>
      <c r="F245" t="inlineStr">
        <is>
          <t>USD</t>
        </is>
      </c>
      <c r="G245" s="4">
        <f>G244+IF(F245="HKD",E245,IF(F245="USD",E245*'FX Rates'!$B$2,E245*'FX Rates'!$B$3))</f>
        <v/>
      </c>
    </row>
    <row r="246">
      <c r="A246" s="2" t="n">
        <v>45977</v>
      </c>
      <c r="B246" t="inlineStr">
        <is>
          <t>Starbucks</t>
        </is>
      </c>
      <c r="C246" t="inlineStr">
        <is>
          <t>STARBUCKS COFFEE WANCHAI</t>
        </is>
      </c>
      <c r="D246" t="inlineStr"/>
      <c r="E246" s="3" t="n">
        <v>-46</v>
      </c>
      <c r="F246" t="inlineStr">
        <is>
          <t>HKD</t>
        </is>
      </c>
      <c r="G246" s="4">
        <f>G245+IF(F246="HKD",E246,IF(F246="USD",E246*'FX Rates'!$B$2,E246*'FX Rates'!$B$3))</f>
        <v/>
      </c>
    </row>
    <row r="247">
      <c r="A247" s="2" t="n">
        <v>45977</v>
      </c>
      <c r="B247" t="inlineStr">
        <is>
          <t>Lunch</t>
        </is>
      </c>
      <c r="C247" t="inlineStr">
        <is>
          <t>Lunch - Tsui Wah</t>
        </is>
      </c>
      <c r="D247" t="inlineStr"/>
      <c r="E247" s="3" t="n">
        <v>-145</v>
      </c>
      <c r="F247" t="inlineStr">
        <is>
          <t>HKD</t>
        </is>
      </c>
      <c r="G247" s="4">
        <f>G246+IF(F247="HKD",E247,IF(F247="USD",E247*'FX Rates'!$B$2,E247*'FX Rates'!$B$3))</f>
        <v/>
      </c>
    </row>
    <row r="248">
      <c r="A248" s="2" t="n">
        <v>45977</v>
      </c>
      <c r="B248" t="inlineStr">
        <is>
          <t>Dinner</t>
        </is>
      </c>
      <c r="C248" t="inlineStr">
        <is>
          <t>Dinner Mott 32</t>
        </is>
      </c>
      <c r="D248" t="inlineStr"/>
      <c r="E248" s="3" t="n">
        <v>-290</v>
      </c>
      <c r="F248" t="inlineStr">
        <is>
          <t>HKD</t>
        </is>
      </c>
      <c r="G248" s="4">
        <f>G247+IF(F248="HKD",E248,IF(F248="USD",E248*'FX Rates'!$B$2,E248*'FX Rates'!$B$3))</f>
        <v/>
      </c>
    </row>
    <row r="249">
      <c r="A249" s="2" t="n">
        <v>45977</v>
      </c>
      <c r="B249" t="inlineStr">
        <is>
          <t>Uber</t>
        </is>
      </c>
      <c r="C249" t="inlineStr">
        <is>
          <t>Uber Ride to office</t>
        </is>
      </c>
      <c r="D249" t="inlineStr"/>
      <c r="E249" s="3" t="n">
        <v>-180</v>
      </c>
      <c r="F249" t="inlineStr">
        <is>
          <t>HKD</t>
        </is>
      </c>
      <c r="G249" s="4">
        <f>G248+IF(F249="HKD",E249,IF(F249="USD",E249*'FX Rates'!$B$2,E249*'FX Rates'!$B$3))</f>
        <v/>
      </c>
    </row>
    <row r="250">
      <c r="A250" s="2" t="n">
        <v>45978</v>
      </c>
      <c r="B250" t="inlineStr">
        <is>
          <t>Adobe</t>
        </is>
      </c>
      <c r="C250" t="inlineStr">
        <is>
          <t>ADOBE CREATIVE CLOUD</t>
        </is>
      </c>
      <c r="D250" t="inlineStr"/>
      <c r="E250" s="3" t="n">
        <v>-54.99</v>
      </c>
      <c r="F250" t="inlineStr">
        <is>
          <t>USD</t>
        </is>
      </c>
      <c r="G250" s="4">
        <f>G249+IF(F250="HKD",E250,IF(F250="USD",E250*'FX Rates'!$B$2,E250*'FX Rates'!$B$3))</f>
        <v/>
      </c>
    </row>
    <row r="251">
      <c r="A251" s="2" t="n">
        <v>45978</v>
      </c>
      <c r="B251" t="inlineStr">
        <is>
          <t>Starbucks</t>
        </is>
      </c>
      <c r="C251" t="inlineStr">
        <is>
          <t>STARBUCKS-COFFEE-CENTRAL</t>
        </is>
      </c>
      <c r="D251" t="inlineStr">
        <is>
          <t>Coffee</t>
        </is>
      </c>
      <c r="E251" s="3" t="n">
        <v>-58</v>
      </c>
      <c r="F251" t="inlineStr">
        <is>
          <t>HKD</t>
        </is>
      </c>
      <c r="G251" s="4">
        <f>G250+IF(F251="HKD",E251,IF(F251="USD",E251*'FX Rates'!$B$2,E251*'FX Rates'!$B$3))</f>
        <v/>
      </c>
    </row>
    <row r="252">
      <c r="A252" s="2" t="n">
        <v>45978</v>
      </c>
      <c r="B252" t="inlineStr">
        <is>
          <t>Lunch</t>
        </is>
      </c>
      <c r="C252" t="inlineStr">
        <is>
          <t>Lunch ABC Kitchen</t>
        </is>
      </c>
      <c r="D252" t="inlineStr">
        <is>
          <t>Dining</t>
        </is>
      </c>
      <c r="E252" s="3" t="n">
        <v>-120</v>
      </c>
      <c r="F252" t="inlineStr">
        <is>
          <t>HKD</t>
        </is>
      </c>
      <c r="G252" s="4">
        <f>G251+IF(F252="HKD",E252,IF(F252="USD",E252*'FX Rates'!$B$2,E252*'FX Rates'!$B$3))</f>
        <v/>
      </c>
    </row>
    <row r="253">
      <c r="A253" s="2" t="n">
        <v>45979</v>
      </c>
      <c r="B253" t="inlineStr">
        <is>
          <t>Starbucks</t>
        </is>
      </c>
      <c r="C253" t="inlineStr">
        <is>
          <t>STARBUCKS COFFEE WANCHAI</t>
        </is>
      </c>
      <c r="D253" t="inlineStr">
        <is>
          <t>Coffee</t>
        </is>
      </c>
      <c r="E253" s="3" t="n">
        <v>-46</v>
      </c>
      <c r="F253" t="inlineStr">
        <is>
          <t>HKD</t>
        </is>
      </c>
      <c r="G253" s="4">
        <f>G252+IF(F253="HKD",E253,IF(F253="USD",E253*'FX Rates'!$B$2,E253*'FX Rates'!$B$3))</f>
        <v/>
      </c>
    </row>
    <row r="254">
      <c r="A254" s="2" t="n">
        <v>45979</v>
      </c>
      <c r="B254" t="inlineStr">
        <is>
          <t>Lunch</t>
        </is>
      </c>
      <c r="C254" t="inlineStr">
        <is>
          <t>Lunch - Tsui Wah</t>
        </is>
      </c>
      <c r="D254" t="inlineStr"/>
      <c r="E254" s="3" t="n">
        <v>-102</v>
      </c>
      <c r="F254" t="inlineStr">
        <is>
          <t>HKD</t>
        </is>
      </c>
      <c r="G254" s="4">
        <f>G253+IF(F254="HKD",E254,IF(F254="USD",E254*'FX Rates'!$B$2,E254*'FX Rates'!$B$3))</f>
        <v/>
      </c>
    </row>
    <row r="255">
      <c r="A255" s="2" t="n">
        <v>45980</v>
      </c>
      <c r="B255" t="inlineStr">
        <is>
          <t>ParknShop</t>
        </is>
      </c>
      <c r="C255" t="inlineStr">
        <is>
          <t>PARKNSHOP SUPERMARKET TST</t>
        </is>
      </c>
      <c r="D255" t="inlineStr">
        <is>
          <t>Groceries</t>
        </is>
      </c>
      <c r="E255" s="3" t="n">
        <v>-280.4</v>
      </c>
      <c r="F255" t="inlineStr">
        <is>
          <t>HKD</t>
        </is>
      </c>
      <c r="G255" s="4">
        <f>G254+IF(F255="HKD",E255,IF(F255="USD",E255*'FX Rates'!$B$2,E255*'FX Rates'!$B$3))</f>
        <v/>
      </c>
    </row>
    <row r="256">
      <c r="A256" s="2" t="n">
        <v>45981</v>
      </c>
      <c r="B256" t="inlineStr">
        <is>
          <t>HK Electric</t>
        </is>
      </c>
      <c r="C256" t="inlineStr">
        <is>
          <t>HK ELECTRIC NOV</t>
        </is>
      </c>
      <c r="D256" t="inlineStr">
        <is>
          <t>Utilities</t>
        </is>
      </c>
      <c r="E256" s="3" t="n">
        <v>-644</v>
      </c>
      <c r="F256" t="inlineStr">
        <is>
          <t>HKD</t>
        </is>
      </c>
      <c r="G256" s="4">
        <f>G255+IF(F256="HKD",E256,IF(F256="USD",E256*'FX Rates'!$B$2,E256*'FX Rates'!$B$3))</f>
        <v/>
      </c>
    </row>
    <row r="257">
      <c r="A257" s="2" t="n">
        <v>45981</v>
      </c>
      <c r="B257" t="inlineStr">
        <is>
          <t>Lunch</t>
        </is>
      </c>
      <c r="C257" t="inlineStr">
        <is>
          <t>Lunch ABC Kitchen</t>
        </is>
      </c>
      <c r="D257" t="inlineStr"/>
      <c r="E257" s="3" t="n">
        <v>-95</v>
      </c>
      <c r="F257" t="inlineStr">
        <is>
          <t>HKD</t>
        </is>
      </c>
      <c r="G257" s="4">
        <f>G256+IF(F257="HKD",E257,IF(F257="USD",E257*'FX Rates'!$B$2,E257*'FX Rates'!$B$3))</f>
        <v/>
      </c>
    </row>
    <row r="258">
      <c r="A258" s="2" t="n">
        <v>45981</v>
      </c>
      <c r="B258" t="inlineStr">
        <is>
          <t>Dinner</t>
        </is>
      </c>
      <c r="C258" t="inlineStr">
        <is>
          <t>Dinner Yardbird</t>
        </is>
      </c>
      <c r="D258" t="inlineStr">
        <is>
          <t>Dining</t>
        </is>
      </c>
      <c r="E258" s="3" t="n">
        <v>-290</v>
      </c>
      <c r="F258" t="inlineStr">
        <is>
          <t>HKD</t>
        </is>
      </c>
      <c r="G258" s="4">
        <f>G257+IF(F258="HKD",E258,IF(F258="USD",E258*'FX Rates'!$B$2,E258*'FX Rates'!$B$3))</f>
        <v/>
      </c>
    </row>
    <row r="259">
      <c r="A259" s="2" t="n">
        <v>45981</v>
      </c>
      <c r="B259" t="inlineStr">
        <is>
          <t>CitySuper</t>
        </is>
      </c>
      <c r="C259" t="inlineStr">
        <is>
          <t>CitySuper Times Square</t>
        </is>
      </c>
      <c r="D259" t="inlineStr">
        <is>
          <t>Groceries</t>
        </is>
      </c>
      <c r="E259" s="3" t="n">
        <v>-1620</v>
      </c>
      <c r="F259" t="inlineStr">
        <is>
          <t>HKD</t>
        </is>
      </c>
      <c r="G259" s="4">
        <f>G258+IF(F259="HKD",E259,IF(F259="USD",E259*'FX Rates'!$B$2,E259*'FX Rates'!$B$3))</f>
        <v/>
      </c>
    </row>
    <row r="260">
      <c r="A260" s="2" t="n">
        <v>45982</v>
      </c>
      <c r="B260" t="inlineStr">
        <is>
          <t>Starbucks</t>
        </is>
      </c>
      <c r="C260" t="inlineStr">
        <is>
          <t>STARBUCKS COFFEE WANCHAI</t>
        </is>
      </c>
      <c r="D260" t="inlineStr">
        <is>
          <t>Coffee</t>
        </is>
      </c>
      <c r="E260" s="3" t="n">
        <v>-46</v>
      </c>
      <c r="F260" t="inlineStr">
        <is>
          <t>HKD</t>
        </is>
      </c>
      <c r="G260" s="4">
        <f>G259+IF(F260="HKD",E260,IF(F260="USD",E260*'FX Rates'!$B$2,E260*'FX Rates'!$B$3))</f>
        <v/>
      </c>
    </row>
    <row r="261">
      <c r="A261" s="2" t="n">
        <v>45982</v>
      </c>
      <c r="B261" t="inlineStr">
        <is>
          <t>Dinner</t>
        </is>
      </c>
      <c r="C261" t="inlineStr">
        <is>
          <t>Dinner Ho Lee Fook</t>
        </is>
      </c>
      <c r="D261" t="inlineStr"/>
      <c r="E261" s="3" t="n">
        <v>-680</v>
      </c>
      <c r="F261" t="inlineStr">
        <is>
          <t>HKD</t>
        </is>
      </c>
      <c r="G261" s="4">
        <f>G260+IF(F261="HKD",E261,IF(F261="USD",E261*'FX Rates'!$B$2,E261*'FX Rates'!$B$3))</f>
        <v/>
      </c>
    </row>
    <row r="262">
      <c r="A262" s="2" t="n">
        <v>45983</v>
      </c>
      <c r="B262" t="inlineStr">
        <is>
          <t>Starbucks</t>
        </is>
      </c>
      <c r="C262" t="inlineStr">
        <is>
          <t>STAR*COFFEE_CTRL</t>
        </is>
      </c>
      <c r="D262" t="inlineStr"/>
      <c r="E262" s="3" t="n">
        <v>-58</v>
      </c>
      <c r="F262" t="inlineStr">
        <is>
          <t>HKD</t>
        </is>
      </c>
      <c r="G262" s="4">
        <f>G261+IF(F262="HKD",E262,IF(F262="USD",E262*'FX Rates'!$B$2,E262*'FX Rates'!$B$3))</f>
        <v/>
      </c>
    </row>
    <row r="263">
      <c r="A263" s="2" t="n">
        <v>45983</v>
      </c>
      <c r="B263" t="inlineStr">
        <is>
          <t>Watsons</t>
        </is>
      </c>
      <c r="C263" t="inlineStr">
        <is>
          <t>Watsons - skincare + meds</t>
        </is>
      </c>
      <c r="D263" t="inlineStr"/>
      <c r="E263" s="3" t="n">
        <v>-720</v>
      </c>
      <c r="F263" t="inlineStr">
        <is>
          <t>HKD</t>
        </is>
      </c>
      <c r="G263" s="4">
        <f>G262+IF(F263="HKD",E263,IF(F263="USD",E263*'FX Rates'!$B$2,E263*'FX Rates'!$B$3))</f>
        <v/>
      </c>
    </row>
    <row r="264">
      <c r="A264" s="2" t="n">
        <v>45984</v>
      </c>
      <c r="B264" t="inlineStr">
        <is>
          <t>Dropbox</t>
        </is>
      </c>
      <c r="C264" t="inlineStr">
        <is>
          <t>DROPBOX PLUS</t>
        </is>
      </c>
      <c r="D264" t="inlineStr"/>
      <c r="E264" s="3" t="n">
        <v>-11.99</v>
      </c>
      <c r="F264" t="inlineStr">
        <is>
          <t>USD</t>
        </is>
      </c>
      <c r="G264" s="4">
        <f>G263+IF(F264="HKD",E264,IF(F264="USD",E264*'FX Rates'!$B$2,E264*'FX Rates'!$B$3))</f>
        <v/>
      </c>
    </row>
    <row r="265">
      <c r="A265" s="2" t="n">
        <v>45984</v>
      </c>
      <c r="B265" t="inlineStr">
        <is>
          <t>Dinner</t>
        </is>
      </c>
      <c r="C265" t="inlineStr">
        <is>
          <t>Dinner Little Bao</t>
        </is>
      </c>
      <c r="D265" t="inlineStr"/>
      <c r="E265" s="3" t="n">
        <v>-680</v>
      </c>
      <c r="F265" t="inlineStr">
        <is>
          <t>HKD</t>
        </is>
      </c>
      <c r="G265" s="4">
        <f>G264+IF(F265="HKD",E265,IF(F265="USD",E265*'FX Rates'!$B$2,E265*'FX Rates'!$B$3))</f>
        <v/>
      </c>
    </row>
    <row r="266">
      <c r="A266" s="2" t="n">
        <v>45984</v>
      </c>
      <c r="B266" t="inlineStr">
        <is>
          <t>Uber</t>
        </is>
      </c>
      <c r="C266" t="inlineStr">
        <is>
          <t>UBER *TRIP</t>
        </is>
      </c>
      <c r="D266" t="inlineStr"/>
      <c r="E266" s="3" t="n">
        <v>-180</v>
      </c>
      <c r="F266" t="inlineStr">
        <is>
          <t>HKD</t>
        </is>
      </c>
      <c r="G266" s="4">
        <f>G265+IF(F266="HKD",E266,IF(F266="USD",E266*'FX Rates'!$B$2,E266*'FX Rates'!$B$3))</f>
        <v/>
      </c>
    </row>
    <row r="267">
      <c r="A267" s="2" t="n">
        <v>45985</v>
      </c>
      <c r="B267" t="inlineStr">
        <is>
          <t>Starbucks</t>
        </is>
      </c>
      <c r="C267" t="inlineStr">
        <is>
          <t>STARBUCKS-COFFEE-CENTRAL</t>
        </is>
      </c>
      <c r="D267" t="inlineStr">
        <is>
          <t>Coffee</t>
        </is>
      </c>
      <c r="E267" s="3" t="n">
        <v>-58</v>
      </c>
      <c r="F267" t="inlineStr">
        <is>
          <t>HKD</t>
        </is>
      </c>
      <c r="G267" s="4">
        <f>G266+IF(F267="HKD",E267,IF(F267="USD",E267*'FX Rates'!$B$2,E267*'FX Rates'!$B$3))</f>
        <v/>
      </c>
    </row>
    <row r="268">
      <c r="A268" s="2" t="n">
        <v>45985</v>
      </c>
      <c r="B268" t="inlineStr">
        <is>
          <t>Lunch</t>
        </is>
      </c>
      <c r="C268" t="inlineStr">
        <is>
          <t>Lunch Maxim's</t>
        </is>
      </c>
      <c r="D268" t="inlineStr"/>
      <c r="E268" s="3" t="n">
        <v>-102</v>
      </c>
      <c r="F268" t="inlineStr">
        <is>
          <t>HKD</t>
        </is>
      </c>
      <c r="G268" s="4">
        <f>G267+IF(F268="HKD",E268,IF(F268="USD",E268*'FX Rates'!$B$2,E268*'FX Rates'!$B$3))</f>
        <v/>
      </c>
    </row>
    <row r="269">
      <c r="A269" s="2" t="n">
        <v>45985</v>
      </c>
      <c r="B269" t="inlineStr">
        <is>
          <t>Uber</t>
        </is>
      </c>
      <c r="C269" t="inlineStr">
        <is>
          <t>UBER *TRIP</t>
        </is>
      </c>
      <c r="D269" t="inlineStr">
        <is>
          <t>Transport</t>
        </is>
      </c>
      <c r="E269" s="3" t="n">
        <v>-180</v>
      </c>
      <c r="F269" t="inlineStr">
        <is>
          <t>HKD</t>
        </is>
      </c>
      <c r="G269" s="4">
        <f>G268+IF(F269="HKD",E269,IF(F269="USD",E269*'FX Rates'!$B$2,E269*'FX Rates'!$B$3))</f>
        <v/>
      </c>
    </row>
    <row r="270">
      <c r="A270" s="2" t="n">
        <v>45986</v>
      </c>
      <c r="B270" t="inlineStr">
        <is>
          <t>Starbucks</t>
        </is>
      </c>
      <c r="C270" t="inlineStr">
        <is>
          <t>STAR*COFFEE_CTRL</t>
        </is>
      </c>
      <c r="D270" t="inlineStr"/>
      <c r="E270" s="3" t="n">
        <v>-58</v>
      </c>
      <c r="F270" t="inlineStr">
        <is>
          <t>HKD</t>
        </is>
      </c>
      <c r="G270" s="4">
        <f>G269+IF(F270="HKD",E270,IF(F270="USD",E270*'FX Rates'!$B$2,E270*'FX Rates'!$B$3))</f>
        <v/>
      </c>
    </row>
    <row r="271">
      <c r="A271" s="2" t="n">
        <v>45986</v>
      </c>
      <c r="B271" t="inlineStr">
        <is>
          <t>Lunch</t>
        </is>
      </c>
      <c r="C271" t="inlineStr">
        <is>
          <t>Lunch ABC Kitchen</t>
        </is>
      </c>
      <c r="D271" t="inlineStr"/>
      <c r="E271" s="3" t="n">
        <v>-88</v>
      </c>
      <c r="F271" t="inlineStr">
        <is>
          <t>HKD</t>
        </is>
      </c>
      <c r="G271" s="4">
        <f>G270+IF(F271="HKD",E271,IF(F271="USD",E271*'FX Rates'!$B$2,E271*'FX Rates'!$B$3))</f>
        <v/>
      </c>
    </row>
    <row r="272">
      <c r="A272" s="2" t="n">
        <v>45987</v>
      </c>
      <c r="B272" t="inlineStr">
        <is>
          <t>Starbucks</t>
        </is>
      </c>
      <c r="C272" t="inlineStr">
        <is>
          <t>STARBUCKS-COFFEE-IFC</t>
        </is>
      </c>
      <c r="D272" t="inlineStr">
        <is>
          <t>Coffee</t>
        </is>
      </c>
      <c r="E272" s="3" t="n">
        <v>-46</v>
      </c>
      <c r="F272" t="inlineStr">
        <is>
          <t>HKD</t>
        </is>
      </c>
      <c r="G272" s="4">
        <f>G271+IF(F272="HKD",E272,IF(F272="USD",E272*'FX Rates'!$B$2,E272*'FX Rates'!$B$3))</f>
        <v/>
      </c>
    </row>
    <row r="273">
      <c r="A273" t="inlineStr">
        <is>
          <t>11/26/2025</t>
        </is>
      </c>
      <c r="B273" t="inlineStr">
        <is>
          <t>Lunch</t>
        </is>
      </c>
      <c r="C273" t="inlineStr">
        <is>
          <t>Lunch ABC Kitchen</t>
        </is>
      </c>
      <c r="D273" t="inlineStr">
        <is>
          <t>Dining</t>
        </is>
      </c>
      <c r="E273" s="3" t="n">
        <v>-95</v>
      </c>
      <c r="F273" t="inlineStr">
        <is>
          <t>HKD</t>
        </is>
      </c>
      <c r="G273" s="4">
        <f>G272+IF(F273="HKD",E273,IF(F273="USD",E273*'FX Rates'!$B$2,E273*'FX Rates'!$B$3))</f>
        <v/>
      </c>
    </row>
    <row r="274">
      <c r="A274" s="2" t="n">
        <v>45987</v>
      </c>
      <c r="B274" t="inlineStr">
        <is>
          <t>CitySuper</t>
        </is>
      </c>
      <c r="C274" t="inlineStr">
        <is>
          <t>CitySuper Times Square</t>
        </is>
      </c>
      <c r="D274" t="inlineStr"/>
      <c r="E274" s="3" t="n">
        <v>-1450</v>
      </c>
      <c r="F274" t="inlineStr">
        <is>
          <t>HKD</t>
        </is>
      </c>
      <c r="G274" s="4">
        <f>G273+IF(F274="HKD",E274,IF(F274="USD",E274*'FX Rates'!$B$2,E274*'FX Rates'!$B$3))</f>
        <v/>
      </c>
    </row>
    <row r="275">
      <c r="A275" s="2" t="n">
        <v>45987</v>
      </c>
      <c r="B275" t="inlineStr">
        <is>
          <t>Watsons</t>
        </is>
      </c>
      <c r="C275" t="inlineStr">
        <is>
          <t>Watsons - skincare + meds</t>
        </is>
      </c>
      <c r="D275" t="inlineStr"/>
      <c r="E275" s="3" t="n">
        <v>-720</v>
      </c>
      <c r="F275" t="inlineStr">
        <is>
          <t>HKD</t>
        </is>
      </c>
      <c r="G275" s="4">
        <f>G274+IF(F275="HKD",E275,IF(F275="USD",E275*'FX Rates'!$B$2,E275*'FX Rates'!$B$3))</f>
        <v/>
      </c>
    </row>
    <row r="276">
      <c r="A276" s="2" t="n">
        <v>45988</v>
      </c>
      <c r="B276" t="inlineStr">
        <is>
          <t>Uber</t>
        </is>
      </c>
      <c r="C276" t="inlineStr">
        <is>
          <t>Uber Ride</t>
        </is>
      </c>
      <c r="D276" t="inlineStr">
        <is>
          <t>Transport</t>
        </is>
      </c>
      <c r="E276" s="3" t="n">
        <v>-65</v>
      </c>
      <c r="F276" t="inlineStr">
        <is>
          <t>HKD</t>
        </is>
      </c>
      <c r="G276" s="4">
        <f>G275+IF(F276="HKD",E276,IF(F276="USD",E276*'FX Rates'!$B$2,E276*'FX Rates'!$B$3))</f>
        <v/>
      </c>
    </row>
    <row r="277">
      <c r="A277" s="2" t="n">
        <v>45989</v>
      </c>
      <c r="B277" t="inlineStr">
        <is>
          <t>Starbucks</t>
        </is>
      </c>
      <c r="C277" t="inlineStr">
        <is>
          <t>STARBUCKS COFFEE WANCHAI</t>
        </is>
      </c>
      <c r="D277" t="inlineStr">
        <is>
          <t>Coffee</t>
        </is>
      </c>
      <c r="E277" s="3" t="n">
        <v>-46</v>
      </c>
      <c r="F277" t="inlineStr">
        <is>
          <t>HKD</t>
        </is>
      </c>
      <c r="G277" s="4">
        <f>G276+IF(F277="HKD",E277,IF(F277="USD",E277*'FX Rates'!$B$2,E277*'FX Rates'!$B$3))</f>
        <v/>
      </c>
    </row>
    <row r="278">
      <c r="A278" s="2" t="n">
        <v>45989</v>
      </c>
      <c r="B278" t="inlineStr">
        <is>
          <t>Dinner</t>
        </is>
      </c>
      <c r="C278" t="inlineStr">
        <is>
          <t>Dinner Ronin</t>
        </is>
      </c>
      <c r="D278" t="inlineStr">
        <is>
          <t>Dining</t>
        </is>
      </c>
      <c r="E278" s="3" t="n">
        <v>-290</v>
      </c>
      <c r="F278" t="inlineStr">
        <is>
          <t>HKD</t>
        </is>
      </c>
      <c r="G278" s="4">
        <f>G277+IF(F278="HKD",E278,IF(F278="USD",E278*'FX Rates'!$B$2,E278*'FX Rates'!$B$3))</f>
        <v/>
      </c>
    </row>
    <row r="279">
      <c r="A279" s="2" t="n">
        <v>45990</v>
      </c>
      <c r="B279" t="inlineStr">
        <is>
          <t>Starbucks</t>
        </is>
      </c>
      <c r="C279" t="inlineStr">
        <is>
          <t>STARBUCKS-COFFEE-IFC</t>
        </is>
      </c>
      <c r="D279" t="inlineStr"/>
      <c r="E279" s="3" t="n">
        <v>-46</v>
      </c>
      <c r="F279" t="inlineStr">
        <is>
          <t>HKD</t>
        </is>
      </c>
      <c r="G279" s="4">
        <f>G278+IF(F279="HKD",E279,IF(F279="USD",E279*'FX Rates'!$B$2,E279*'FX Rates'!$B$3))</f>
        <v/>
      </c>
    </row>
    <row r="280">
      <c r="A280" s="2" t="n">
        <v>45990</v>
      </c>
      <c r="B280" t="inlineStr">
        <is>
          <t>Lunch</t>
        </is>
      </c>
      <c r="C280" t="inlineStr">
        <is>
          <t>Lunch Maxim's</t>
        </is>
      </c>
      <c r="D280" t="inlineStr"/>
      <c r="E280" s="3" t="n">
        <v>-120</v>
      </c>
      <c r="F280" t="inlineStr">
        <is>
          <t>HKD</t>
        </is>
      </c>
      <c r="G280" s="4">
        <f>G279+IF(F280="HKD",E280,IF(F280="USD",E280*'FX Rates'!$B$2,E280*'FX Rates'!$B$3))</f>
        <v/>
      </c>
    </row>
    <row r="281">
      <c r="A281" s="2" t="n">
        <v>45990</v>
      </c>
      <c r="B281" t="inlineStr">
        <is>
          <t>Dinner</t>
        </is>
      </c>
      <c r="C281" t="inlineStr">
        <is>
          <t>Dinner Ho Lee Fook</t>
        </is>
      </c>
      <c r="D281" t="inlineStr"/>
      <c r="E281" s="3" t="n">
        <v>-520</v>
      </c>
      <c r="F281" t="inlineStr">
        <is>
          <t>HKD</t>
        </is>
      </c>
      <c r="G281" s="4">
        <f>G280+IF(F281="HKD",E281,IF(F281="USD",E281*'FX Rates'!$B$2,E281*'FX Rates'!$B$3))</f>
        <v/>
      </c>
    </row>
    <row r="282">
      <c r="A282" s="2" t="n">
        <v>45990</v>
      </c>
      <c r="B282" t="inlineStr">
        <is>
          <t>Uber</t>
        </is>
      </c>
      <c r="C282" t="inlineStr">
        <is>
          <t>UBER *TRIP</t>
        </is>
      </c>
      <c r="D282" t="inlineStr"/>
      <c r="E282" s="3" t="n">
        <v>-65</v>
      </c>
      <c r="F282" t="inlineStr">
        <is>
          <t>HKD</t>
        </is>
      </c>
      <c r="G282" s="4">
        <f>G281+IF(F282="HKD",E282,IF(F282="USD",E282*'FX Rates'!$B$2,E282*'FX Rates'!$B$3))</f>
        <v/>
      </c>
    </row>
    <row r="283">
      <c r="A283" s="2" t="n">
        <v>45991</v>
      </c>
      <c r="B283" t="inlineStr">
        <is>
          <t>Starbucks</t>
        </is>
      </c>
      <c r="C283" t="inlineStr">
        <is>
          <t>STARBUCKS-COFFEE-IFC</t>
        </is>
      </c>
      <c r="D283" t="inlineStr"/>
      <c r="E283" s="3" t="n">
        <v>-46</v>
      </c>
      <c r="F283" t="inlineStr">
        <is>
          <t>HKD</t>
        </is>
      </c>
      <c r="G283" s="4">
        <f>G282+IF(F283="HKD",E283,IF(F283="USD",E283*'FX Rates'!$B$2,E283*'FX Rates'!$B$3))</f>
        <v/>
      </c>
    </row>
    <row r="284">
      <c r="A284" s="2" t="n">
        <v>45991</v>
      </c>
      <c r="B284" t="inlineStr">
        <is>
          <t>Lunch</t>
        </is>
      </c>
      <c r="C284" t="inlineStr">
        <is>
          <t>Brunch Common Ground</t>
        </is>
      </c>
      <c r="D284" t="inlineStr">
        <is>
          <t>Dining</t>
        </is>
      </c>
      <c r="E284" s="3" t="n">
        <v>-120</v>
      </c>
      <c r="F284" t="inlineStr">
        <is>
          <t>HKD</t>
        </is>
      </c>
      <c r="G284" s="4">
        <f>G283+IF(F284="HKD",E284,IF(F284="USD",E284*'FX Rates'!$B$2,E284*'FX Rates'!$B$3))</f>
        <v/>
      </c>
    </row>
    <row r="285">
      <c r="A285" s="2" t="n">
        <v>45991</v>
      </c>
      <c r="B285" t="inlineStr">
        <is>
          <t>Uber</t>
        </is>
      </c>
      <c r="C285" t="inlineStr">
        <is>
          <t>Uber Ride</t>
        </is>
      </c>
      <c r="D285" t="inlineStr">
        <is>
          <t>Transport</t>
        </is>
      </c>
      <c r="E285" s="3" t="n">
        <v>-110</v>
      </c>
      <c r="F285" t="inlineStr">
        <is>
          <t>HKD</t>
        </is>
      </c>
      <c r="G285" s="4">
        <f>G284+IF(F285="HKD",E285,IF(F285="USD",E285*'FX Rates'!$B$2,E285*'FX Rates'!$B$3))</f>
        <v/>
      </c>
    </row>
    <row r="286">
      <c r="A286" s="2" t="n">
        <v>45991</v>
      </c>
      <c r="B286" t="inlineStr">
        <is>
          <t>ParknShop</t>
        </is>
      </c>
      <c r="C286" t="inlineStr">
        <is>
          <t>PARKNSHOP SUPERMARKET TST</t>
        </is>
      </c>
      <c r="D286" t="inlineStr"/>
      <c r="E286" s="3" t="n">
        <v>-280.4</v>
      </c>
      <c r="F286" t="inlineStr">
        <is>
          <t>HKD</t>
        </is>
      </c>
      <c r="G286" s="4">
        <f>G285+IF(F286="HKD",E286,IF(F286="USD",E286*'FX Rates'!$B$2,E286*'FX Rates'!$B$3))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>
      <c r="A1" s="1" t="inlineStr">
        <is>
          <t>currency_pair</t>
        </is>
      </c>
      <c r="B1" s="1" t="inlineStr">
        <is>
          <t>rate_to_HKD</t>
        </is>
      </c>
      <c r="C1" s="1" t="inlineStr">
        <is>
          <t>note</t>
        </is>
      </c>
    </row>
    <row r="2">
      <c r="A2" t="inlineStr">
        <is>
          <t>USD</t>
        </is>
      </c>
      <c r="B2" t="n">
        <v>7.8</v>
      </c>
      <c r="C2" t="inlineStr">
        <is>
          <t>approximate; use for analysis</t>
        </is>
      </c>
    </row>
    <row r="3">
      <c r="A3" t="inlineStr">
        <is>
          <t>JPY</t>
        </is>
      </c>
      <c r="B3" t="n">
        <v>0.052</v>
      </c>
      <c r="C3" t="inlineStr">
        <is>
          <t>approximate per 1 JPY; use for analysis</t>
        </is>
      </c>
    </row>
    <row r="4">
      <c r="A4" t="inlineStr">
        <is>
          <t>HKD</t>
        </is>
      </c>
      <c r="B4" t="n">
        <v>1</v>
      </c>
      <c r="C4" t="inlineStr">
        <is>
          <t>base currency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</cols>
  <sheetData>
    <row r="1">
      <c r="A1" s="1" t="inlineStr">
        <is>
          <t>category</t>
        </is>
      </c>
      <c r="B1" s="1" t="inlineStr">
        <is>
          <t>notes</t>
        </is>
      </c>
    </row>
    <row r="2">
      <c r="A2" t="inlineStr">
        <is>
          <t>Groceries</t>
        </is>
      </c>
      <c r="B2" t="inlineStr">
        <is>
          <t>Supermarkets, fresh produce</t>
        </is>
      </c>
    </row>
    <row r="3">
      <c r="A3" t="inlineStr">
        <is>
          <t>Dining</t>
        </is>
      </c>
      <c r="B3" t="inlineStr">
        <is>
          <t>Restaurants, brunches, takeout</t>
        </is>
      </c>
    </row>
    <row r="4">
      <c r="A4" t="inlineStr">
        <is>
          <t>Coffee</t>
        </is>
      </c>
      <c r="B4" t="inlineStr">
        <is>
          <t>Cafes, daily coffee runs</t>
        </is>
      </c>
    </row>
    <row r="5">
      <c r="A5" t="inlineStr">
        <is>
          <t>Travel</t>
        </is>
      </c>
      <c r="B5" t="inlineStr">
        <is>
          <t>Flights, hotels, trips out of HK</t>
        </is>
      </c>
    </row>
    <row r="6">
      <c r="A6" t="inlineStr">
        <is>
          <t>Subscriptions</t>
        </is>
      </c>
      <c r="B6" t="inlineStr">
        <is>
          <t>Recurring software &amp; services</t>
        </is>
      </c>
    </row>
    <row r="7">
      <c r="A7" t="inlineStr">
        <is>
          <t>Utilities</t>
        </is>
      </c>
      <c r="B7" t="inlineStr">
        <is>
          <t>Internet, mobile, electricity</t>
        </is>
      </c>
    </row>
    <row r="8">
      <c r="A8" t="inlineStr">
        <is>
          <t>Housing</t>
        </is>
      </c>
      <c r="B8" t="inlineStr">
        <is>
          <t>Rent, building fees</t>
        </is>
      </c>
    </row>
    <row r="9">
      <c r="A9" t="inlineStr">
        <is>
          <t>Cash</t>
        </is>
      </c>
      <c r="B9" t="inlineStr">
        <is>
          <t>ATM withdrawals</t>
        </is>
      </c>
    </row>
    <row r="10">
      <c r="A10" t="inlineStr">
        <is>
          <t>Shopping</t>
        </is>
      </c>
      <c r="B10" t="inlineStr">
        <is>
          <t>Clothes, bookstores, electronics</t>
        </is>
      </c>
    </row>
    <row r="11">
      <c r="A11" t="inlineStr">
        <is>
          <t>Transport</t>
        </is>
      </c>
      <c r="B11" t="inlineStr">
        <is>
          <t>Uber, MTR, taxis</t>
        </is>
      </c>
    </row>
    <row r="12">
      <c r="A12" t="inlineStr">
        <is>
          <t>Investments</t>
        </is>
      </c>
      <c r="B12" t="inlineStr">
        <is>
          <t>Brokerage transfers, recurring buys</t>
        </is>
      </c>
    </row>
    <row r="13">
      <c r="A13" t="inlineStr">
        <is>
          <t>Income</t>
        </is>
      </c>
      <c r="B13" t="inlineStr">
        <is>
          <t>Salary, refunds, transfers 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2026-05-12T18:18:52Z</dcterms:created>
  <dcterms:modified xmlns:dcterms="http://purl.org/dc/terms/" xmlns:xsi="http://www.w3.org/2001/XMLSchema-instance" xsi:type="dcterms:W3CDTF">2026-05-12T18:18:52Z</dcterms:modified>
</cp:coreProperties>
</file>